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實習成績考查(181檔)" sheetId="1" state="visible" r:id="rId1"/>
    <sheet xmlns:r="http://schemas.openxmlformats.org/officeDocument/2006/relationships" name="平時驗收(170檔)" sheetId="2" state="visible" r:id="rId2"/>
    <sheet xmlns:r="http://schemas.openxmlformats.org/officeDocument/2006/relationships" name="作業驗收核章(180_182檔)" sheetId="3" state="visible" r:id="rId3"/>
    <sheet xmlns:r="http://schemas.openxmlformats.org/officeDocument/2006/relationships" name="正規化加權成績總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name val="微軟正黑體"/>
      <b val="1"/>
      <color rgb="001F497D"/>
      <sz val="16"/>
    </font>
    <font>
      <name val="微軟正黑體"/>
      <b val="1"/>
      <color rgb="00595959"/>
      <sz val="11"/>
    </font>
    <font>
      <name val="微軟正黑體"/>
      <b val="1"/>
      <color rgb="00FFFFFF"/>
      <sz val="11"/>
    </font>
    <font>
      <name val="微軟正黑體"/>
      <b val="1"/>
      <sz val="10"/>
    </font>
    <font>
      <name val="微軟正黑體"/>
      <sz val="10"/>
    </font>
    <font>
      <name val="微軟正黑體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244061"/>
        <bgColor rgb="00244061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1B5E20"/>
        <bgColor rgb="001B5E20"/>
      </patternFill>
    </fill>
    <fill>
      <patternFill patternType="solid">
        <fgColor rgb="00B9770E"/>
        <bgColor rgb="00B9770E"/>
      </patternFill>
    </fill>
    <fill>
      <patternFill patternType="solid">
        <fgColor rgb="004A235A"/>
        <bgColor rgb="004A235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244061"/>
      </top>
      <bottom style="medium">
        <color rgb="00244061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165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23" customWidth="1" min="2" max="2"/>
    <col width="16" customWidth="1" min="3" max="3"/>
    <col width="18" customWidth="1" min="4" max="4"/>
    <col width="21" customWidth="1" min="5" max="5"/>
    <col width="27" customWidth="1" min="6" max="6"/>
    <col width="31" customWidth="1" min="7" max="7"/>
  </cols>
  <sheetData>
    <row r="1">
      <c r="A1" s="1" t="inlineStr">
        <is>
          <t>桃園市立楊梅高中 資訊二甲 實習考查成績登記表</t>
        </is>
      </c>
    </row>
    <row r="2">
      <c r="A2" s="2" t="inlineStr">
        <is>
          <t>原始來源檔：SKMBT_36326100107181.pdf ｜ 登記項目：鍵盤、蜂鳴器、呼吸燈、總分</t>
        </is>
      </c>
    </row>
    <row r="3"/>
    <row r="4">
      <c r="A4" s="3" t="inlineStr">
        <is>
          <t>座號</t>
        </is>
      </c>
      <c r="B4" s="3" t="inlineStr">
        <is>
          <t>姓名</t>
        </is>
      </c>
      <c r="C4" s="3" t="inlineStr">
        <is>
          <t>鍵盤 (次數一)</t>
        </is>
      </c>
      <c r="D4" s="3" t="inlineStr">
        <is>
          <t>蜂鳴器 (次數二)</t>
        </is>
      </c>
      <c r="E4" s="3" t="inlineStr">
        <is>
          <t>呼吸燈 (次數五/六)</t>
        </is>
      </c>
      <c r="F4" s="3" t="inlineStr">
        <is>
          <t>實習總分 (次數七)</t>
        </is>
      </c>
      <c r="G4" s="3" t="inlineStr">
        <is>
          <t>及格狀態</t>
        </is>
      </c>
    </row>
    <row r="5">
      <c r="A5" s="4" t="n">
        <v>1</v>
      </c>
      <c r="B5" s="5" t="inlineStr">
        <is>
          <t>張軒萱</t>
        </is>
      </c>
      <c r="C5" s="5" t="n">
        <v>85</v>
      </c>
      <c r="D5" s="5" t="n">
        <v>85</v>
      </c>
      <c r="E5" s="5" t="inlineStr">
        <is>
          <t>-</t>
        </is>
      </c>
      <c r="F5" s="6" t="n">
        <v>85</v>
      </c>
      <c r="G5" s="5">
        <f>IF(F5&gt;=60,"及格","不及格")</f>
        <v/>
      </c>
    </row>
    <row r="6">
      <c r="A6" s="4" t="n">
        <v>2</v>
      </c>
      <c r="B6" s="5" t="inlineStr">
        <is>
          <t>張瑋真</t>
        </is>
      </c>
      <c r="C6" s="5" t="n">
        <v>70</v>
      </c>
      <c r="D6" s="5" t="n">
        <v>60</v>
      </c>
      <c r="E6" s="5" t="inlineStr">
        <is>
          <t>-</t>
        </is>
      </c>
      <c r="F6" s="6" t="n">
        <v>75</v>
      </c>
      <c r="G6" s="5">
        <f>IF(F6&gt;=60,"及格","不及格")</f>
        <v/>
      </c>
    </row>
    <row r="7">
      <c r="A7" s="4" t="n">
        <v>4</v>
      </c>
      <c r="B7" s="5" t="inlineStr">
        <is>
          <t>程語凡</t>
        </is>
      </c>
      <c r="C7" s="5" t="n">
        <v>85</v>
      </c>
      <c r="D7" s="5" t="n">
        <v>80</v>
      </c>
      <c r="E7" s="5" t="inlineStr">
        <is>
          <t>-</t>
        </is>
      </c>
      <c r="F7" s="6" t="n">
        <v>80</v>
      </c>
      <c r="G7" s="5">
        <f>IF(F7&gt;=60,"及格","不及格")</f>
        <v/>
      </c>
    </row>
    <row r="8">
      <c r="A8" s="4" t="n">
        <v>5</v>
      </c>
      <c r="B8" s="5" t="inlineStr">
        <is>
          <t>詹晏妮</t>
        </is>
      </c>
      <c r="C8" s="5" t="n">
        <v>85</v>
      </c>
      <c r="D8" s="5" t="n">
        <v>85</v>
      </c>
      <c r="E8" s="5" t="inlineStr">
        <is>
          <t>-</t>
        </is>
      </c>
      <c r="F8" s="6" t="n">
        <v>88</v>
      </c>
      <c r="G8" s="5">
        <f>IF(F8&gt;=60,"及格","不及格")</f>
        <v/>
      </c>
    </row>
    <row r="9">
      <c r="A9" s="4" t="n">
        <v>6</v>
      </c>
      <c r="B9" s="5" t="inlineStr">
        <is>
          <t>廖秀美</t>
        </is>
      </c>
      <c r="C9" s="5" t="n">
        <v>75</v>
      </c>
      <c r="D9" s="5" t="n">
        <v>75</v>
      </c>
      <c r="E9" s="5" t="inlineStr">
        <is>
          <t>-</t>
        </is>
      </c>
      <c r="F9" s="6" t="n">
        <v>80</v>
      </c>
      <c r="G9" s="5">
        <f>IF(F9&gt;=60,"及格","不及格")</f>
        <v/>
      </c>
    </row>
    <row r="10">
      <c r="A10" s="4" t="n">
        <v>7</v>
      </c>
      <c r="B10" s="5" t="inlineStr">
        <is>
          <t>尹翊丞</t>
        </is>
      </c>
      <c r="C10" s="5" t="n">
        <v>80</v>
      </c>
      <c r="D10" s="5" t="inlineStr">
        <is>
          <t>X</t>
        </is>
      </c>
      <c r="E10" s="5" t="inlineStr">
        <is>
          <t>-</t>
        </is>
      </c>
      <c r="F10" s="6" t="n">
        <v>70</v>
      </c>
      <c r="G10" s="5">
        <f>IF(F10&gt;=60,"及格","不及格")</f>
        <v/>
      </c>
    </row>
    <row r="11">
      <c r="A11" s="4" t="n">
        <v>8</v>
      </c>
      <c r="B11" s="5" t="inlineStr">
        <is>
          <t>方鴻鈞</t>
        </is>
      </c>
      <c r="C11" s="5" t="n">
        <v>80</v>
      </c>
      <c r="D11" s="5" t="inlineStr">
        <is>
          <t>X</t>
        </is>
      </c>
      <c r="E11" s="5" t="inlineStr">
        <is>
          <t>X</t>
        </is>
      </c>
      <c r="F11" s="7" t="n">
        <v>55</v>
      </c>
      <c r="G11" s="5">
        <f>IF(F11&gt;=60,"及格","不及格")</f>
        <v/>
      </c>
    </row>
    <row r="12">
      <c r="A12" s="4" t="n">
        <v>9</v>
      </c>
      <c r="B12" s="5" t="inlineStr">
        <is>
          <t>王星皓</t>
        </is>
      </c>
      <c r="C12" s="5" t="inlineStr">
        <is>
          <t>X</t>
        </is>
      </c>
      <c r="D12" s="5" t="inlineStr">
        <is>
          <t>X</t>
        </is>
      </c>
      <c r="E12" s="5" t="inlineStr">
        <is>
          <t>X</t>
        </is>
      </c>
      <c r="F12" s="7" t="n">
        <v>50</v>
      </c>
      <c r="G12" s="5">
        <f>IF(F12&gt;=60,"及格","不及格")</f>
        <v/>
      </c>
    </row>
    <row r="13">
      <c r="A13" s="4" t="n">
        <v>10</v>
      </c>
      <c r="B13" s="5" t="inlineStr">
        <is>
          <t>王皓庭</t>
        </is>
      </c>
      <c r="C13" s="5" t="n">
        <v>75</v>
      </c>
      <c r="D13" s="5" t="n">
        <v>75</v>
      </c>
      <c r="E13" s="5" t="inlineStr">
        <is>
          <t>X</t>
        </is>
      </c>
      <c r="F13" s="6" t="n">
        <v>60</v>
      </c>
      <c r="G13" s="5">
        <f>IF(F13&gt;=60,"及格","不及格")</f>
        <v/>
      </c>
    </row>
    <row r="14">
      <c r="A14" s="4" t="n">
        <v>11</v>
      </c>
      <c r="B14" s="5" t="inlineStr">
        <is>
          <t>朱家潤</t>
        </is>
      </c>
      <c r="C14" s="5" t="n">
        <v>78</v>
      </c>
      <c r="D14" s="5" t="n">
        <v>80</v>
      </c>
      <c r="E14" s="5" t="inlineStr">
        <is>
          <t>-</t>
        </is>
      </c>
      <c r="F14" s="6" t="n">
        <v>75</v>
      </c>
      <c r="G14" s="5">
        <f>IF(F14&gt;=60,"及格","不及格")</f>
        <v/>
      </c>
    </row>
    <row r="15">
      <c r="A15" s="4" t="n">
        <v>12</v>
      </c>
      <c r="B15" s="5" t="inlineStr">
        <is>
          <t>宋宏仁</t>
        </is>
      </c>
      <c r="C15" s="5" t="inlineStr">
        <is>
          <t>X</t>
        </is>
      </c>
      <c r="D15" s="5" t="n">
        <v>65</v>
      </c>
      <c r="E15" s="5" t="inlineStr">
        <is>
          <t>-</t>
        </is>
      </c>
      <c r="F15" s="6" t="n">
        <v>70</v>
      </c>
      <c r="G15" s="5">
        <f>IF(F15&gt;=60,"及格","不及格")</f>
        <v/>
      </c>
    </row>
    <row r="16">
      <c r="A16" s="4" t="n">
        <v>13</v>
      </c>
      <c r="B16" s="5" t="inlineStr">
        <is>
          <t>李宜叡</t>
        </is>
      </c>
      <c r="C16" s="5" t="n">
        <v>65</v>
      </c>
      <c r="D16" s="5" t="n">
        <v>70</v>
      </c>
      <c r="E16" s="5" t="inlineStr">
        <is>
          <t>-</t>
        </is>
      </c>
      <c r="F16" s="6" t="n">
        <v>75</v>
      </c>
      <c r="G16" s="5">
        <f>IF(F16&gt;=60,"及格","不及格")</f>
        <v/>
      </c>
    </row>
    <row r="17">
      <c r="A17" s="4" t="n">
        <v>14</v>
      </c>
      <c r="B17" s="5" t="inlineStr">
        <is>
          <t>洪靖哲</t>
        </is>
      </c>
      <c r="C17" s="5" t="n">
        <v>65</v>
      </c>
      <c r="D17" s="5" t="n">
        <v>70</v>
      </c>
      <c r="E17" s="5" t="inlineStr">
        <is>
          <t>X</t>
        </is>
      </c>
      <c r="F17" s="6" t="n">
        <v>60</v>
      </c>
      <c r="G17" s="5">
        <f>IF(F17&gt;=60,"及格","不及格")</f>
        <v/>
      </c>
    </row>
    <row r="18">
      <c r="A18" s="4" t="n">
        <v>15</v>
      </c>
      <c r="B18" s="5" t="inlineStr">
        <is>
          <t>胡加澤</t>
        </is>
      </c>
      <c r="C18" s="5" t="inlineStr">
        <is>
          <t>X</t>
        </is>
      </c>
      <c r="D18" s="5" t="n">
        <v>75</v>
      </c>
      <c r="E18" s="5" t="inlineStr">
        <is>
          <t>-</t>
        </is>
      </c>
      <c r="F18" s="6" t="n">
        <v>75</v>
      </c>
      <c r="G18" s="5">
        <f>IF(F18&gt;=60,"及格","不及格")</f>
        <v/>
      </c>
    </row>
    <row r="19">
      <c r="A19" s="4" t="n">
        <v>16</v>
      </c>
      <c r="B19" s="5" t="inlineStr">
        <is>
          <t>胡詮秀</t>
        </is>
      </c>
      <c r="C19" s="5" t="n">
        <v>75</v>
      </c>
      <c r="D19" s="5" t="n">
        <v>75</v>
      </c>
      <c r="E19" s="5" t="inlineStr">
        <is>
          <t>-</t>
        </is>
      </c>
      <c r="F19" s="6" t="n">
        <v>78</v>
      </c>
      <c r="G19" s="5">
        <f>IF(F19&gt;=60,"及格","不及格")</f>
        <v/>
      </c>
    </row>
    <row r="20">
      <c r="A20" s="4" t="n">
        <v>17</v>
      </c>
      <c r="B20" s="5" t="inlineStr">
        <is>
          <t>范姜冠倫</t>
        </is>
      </c>
      <c r="C20" s="5" t="n">
        <v>78</v>
      </c>
      <c r="D20" s="5" t="n">
        <v>65</v>
      </c>
      <c r="E20" s="5" t="inlineStr">
        <is>
          <t>-</t>
        </is>
      </c>
      <c r="F20" s="6" t="n">
        <v>80</v>
      </c>
      <c r="G20" s="5">
        <f>IF(F20&gt;=60,"及格","不及格")</f>
        <v/>
      </c>
    </row>
    <row r="21">
      <c r="A21" s="4" t="n">
        <v>18</v>
      </c>
      <c r="B21" s="5" t="inlineStr">
        <is>
          <t>張脩宸</t>
        </is>
      </c>
      <c r="C21" s="5" t="n">
        <v>85</v>
      </c>
      <c r="D21" s="5" t="n">
        <v>85</v>
      </c>
      <c r="E21" s="5" t="inlineStr">
        <is>
          <t>-</t>
        </is>
      </c>
      <c r="F21" s="6" t="n">
        <v>89</v>
      </c>
      <c r="G21" s="5">
        <f>IF(F21&gt;=60,"及格","不及格")</f>
        <v/>
      </c>
    </row>
    <row r="22">
      <c r="A22" s="4" t="n">
        <v>19</v>
      </c>
      <c r="B22" s="5" t="inlineStr">
        <is>
          <t>張詠傑</t>
        </is>
      </c>
      <c r="C22" s="5" t="n">
        <v>72</v>
      </c>
      <c r="D22" s="5" t="n">
        <v>70</v>
      </c>
      <c r="E22" s="5" t="inlineStr">
        <is>
          <t>V</t>
        </is>
      </c>
      <c r="F22" s="7" t="n">
        <v>55</v>
      </c>
      <c r="G22" s="5">
        <f>IF(F22&gt;=60,"及格","不及格")</f>
        <v/>
      </c>
    </row>
    <row r="23">
      <c r="A23" s="4" t="n">
        <v>20</v>
      </c>
      <c r="B23" s="5" t="inlineStr">
        <is>
          <t>許智閔</t>
        </is>
      </c>
      <c r="C23" s="5" t="n">
        <v>85</v>
      </c>
      <c r="D23" s="5" t="n">
        <v>84</v>
      </c>
      <c r="E23" s="5" t="inlineStr">
        <is>
          <t>-</t>
        </is>
      </c>
      <c r="F23" s="6" t="n">
        <v>86</v>
      </c>
      <c r="G23" s="5">
        <f>IF(F23&gt;=60,"及格","不及格")</f>
        <v/>
      </c>
    </row>
    <row r="24">
      <c r="A24" s="4" t="n">
        <v>21</v>
      </c>
      <c r="B24" s="5" t="inlineStr">
        <is>
          <t>陳威綸</t>
        </is>
      </c>
      <c r="C24" s="5" t="n">
        <v>68</v>
      </c>
      <c r="D24" s="5" t="n">
        <v>65</v>
      </c>
      <c r="E24" s="5" t="inlineStr">
        <is>
          <t>-</t>
        </is>
      </c>
      <c r="F24" s="6" t="n">
        <v>69</v>
      </c>
      <c r="G24" s="5">
        <f>IF(F24&gt;=60,"及格","不及格")</f>
        <v/>
      </c>
    </row>
    <row r="25">
      <c r="A25" s="4" t="n">
        <v>22</v>
      </c>
      <c r="B25" s="5" t="inlineStr">
        <is>
          <t>陳帝廷</t>
        </is>
      </c>
      <c r="C25" s="5" t="n">
        <v>85</v>
      </c>
      <c r="D25" s="5" t="n">
        <v>85</v>
      </c>
      <c r="E25" s="5" t="inlineStr">
        <is>
          <t>-</t>
        </is>
      </c>
      <c r="F25" s="6" t="n">
        <v>85</v>
      </c>
      <c r="G25" s="5">
        <f>IF(F25&gt;=60,"及格","不及格")</f>
        <v/>
      </c>
    </row>
    <row r="26">
      <c r="A26" s="4" t="n">
        <v>23</v>
      </c>
      <c r="B26" s="5" t="inlineStr">
        <is>
          <t>陳稟諺</t>
        </is>
      </c>
      <c r="C26" s="5" t="n">
        <v>85</v>
      </c>
      <c r="D26" s="5" t="n">
        <v>85</v>
      </c>
      <c r="E26" s="5" t="inlineStr">
        <is>
          <t>-</t>
        </is>
      </c>
      <c r="F26" s="6" t="n">
        <v>75</v>
      </c>
      <c r="G26" s="5">
        <f>IF(F26&gt;=60,"及格","不及格")</f>
        <v/>
      </c>
    </row>
    <row r="27">
      <c r="A27" s="4" t="n">
        <v>24</v>
      </c>
      <c r="B27" s="5" t="inlineStr">
        <is>
          <t>陳德恩</t>
        </is>
      </c>
      <c r="C27" s="5" t="inlineStr">
        <is>
          <t>X</t>
        </is>
      </c>
      <c r="D27" s="5" t="n">
        <v>75</v>
      </c>
      <c r="E27" s="5" t="inlineStr">
        <is>
          <t>-</t>
        </is>
      </c>
      <c r="F27" s="6" t="n">
        <v>65</v>
      </c>
      <c r="G27" s="5">
        <f>IF(F27&gt;=60,"及格","不及格")</f>
        <v/>
      </c>
    </row>
    <row r="28">
      <c r="A28" s="4" t="n">
        <v>25</v>
      </c>
      <c r="B28" s="5" t="inlineStr">
        <is>
          <t>陸宇辰</t>
        </is>
      </c>
      <c r="C28" s="5" t="inlineStr">
        <is>
          <t>X</t>
        </is>
      </c>
      <c r="D28" s="5" t="n">
        <v>65</v>
      </c>
      <c r="E28" s="5" t="inlineStr">
        <is>
          <t>-</t>
        </is>
      </c>
      <c r="F28" s="6" t="n">
        <v>70</v>
      </c>
      <c r="G28" s="5">
        <f>IF(F28&gt;=60,"及格","不及格")</f>
        <v/>
      </c>
    </row>
    <row r="29">
      <c r="A29" s="4" t="n">
        <v>26</v>
      </c>
      <c r="B29" s="5" t="inlineStr">
        <is>
          <t>曾聖宏</t>
        </is>
      </c>
      <c r="C29" s="5" t="n">
        <v>75</v>
      </c>
      <c r="D29" s="5" t="n">
        <v>80</v>
      </c>
      <c r="E29" s="5" t="inlineStr">
        <is>
          <t>-</t>
        </is>
      </c>
      <c r="F29" s="6" t="n">
        <v>88</v>
      </c>
      <c r="G29" s="5">
        <f>IF(F29&gt;=60,"及格","不及格")</f>
        <v/>
      </c>
    </row>
    <row r="30">
      <c r="A30" s="4" t="n">
        <v>27</v>
      </c>
      <c r="B30" s="5" t="inlineStr">
        <is>
          <t>湯峻喆</t>
        </is>
      </c>
      <c r="C30" s="5" t="inlineStr">
        <is>
          <t>X</t>
        </is>
      </c>
      <c r="D30" s="5" t="n">
        <v>75</v>
      </c>
      <c r="E30" s="5" t="inlineStr">
        <is>
          <t>-</t>
        </is>
      </c>
      <c r="F30" s="6" t="n">
        <v>70</v>
      </c>
      <c r="G30" s="5">
        <f>IF(F30&gt;=60,"及格","不及格")</f>
        <v/>
      </c>
    </row>
    <row r="31">
      <c r="A31" s="4" t="n">
        <v>28</v>
      </c>
      <c r="B31" s="5" t="inlineStr">
        <is>
          <t>劉恩丞</t>
        </is>
      </c>
      <c r="C31" s="5" t="n">
        <v>70</v>
      </c>
      <c r="D31" s="5" t="n">
        <v>70</v>
      </c>
      <c r="E31" s="5" t="inlineStr">
        <is>
          <t>-</t>
        </is>
      </c>
      <c r="F31" s="6" t="n">
        <v>75</v>
      </c>
      <c r="G31" s="5">
        <f>IF(F31&gt;=60,"及格","不及格")</f>
        <v/>
      </c>
    </row>
    <row r="32">
      <c r="A32" s="4" t="n">
        <v>29</v>
      </c>
      <c r="B32" s="5" t="inlineStr">
        <is>
          <t>劉睿哲</t>
        </is>
      </c>
      <c r="C32" s="5" t="n">
        <v>85</v>
      </c>
      <c r="D32" s="5" t="inlineStr">
        <is>
          <t>X</t>
        </is>
      </c>
      <c r="E32" s="5" t="inlineStr">
        <is>
          <t>-</t>
        </is>
      </c>
      <c r="F32" s="6" t="n">
        <v>80</v>
      </c>
      <c r="G32" s="5">
        <f>IF(F32&gt;=60,"及格","不及格")</f>
        <v/>
      </c>
    </row>
    <row r="33">
      <c r="A33" s="4" t="n">
        <v>30</v>
      </c>
      <c r="B33" s="5" t="inlineStr">
        <is>
          <t>蕭丙宏</t>
        </is>
      </c>
      <c r="C33" s="5" t="n">
        <v>80</v>
      </c>
      <c r="D33" s="5" t="n">
        <v>84</v>
      </c>
      <c r="E33" s="5" t="inlineStr">
        <is>
          <t>-</t>
        </is>
      </c>
      <c r="F33" s="6" t="n">
        <v>85</v>
      </c>
      <c r="G33" s="5">
        <f>IF(F33&gt;=60,"及格","不及格")</f>
        <v/>
      </c>
    </row>
    <row r="34">
      <c r="A34" s="4" t="n">
        <v>31</v>
      </c>
      <c r="B34" s="5" t="inlineStr">
        <is>
          <t>謝少軒</t>
        </is>
      </c>
      <c r="C34" s="5" t="inlineStr">
        <is>
          <t>X</t>
        </is>
      </c>
      <c r="D34" s="5" t="inlineStr">
        <is>
          <t>X</t>
        </is>
      </c>
      <c r="E34" s="5" t="inlineStr">
        <is>
          <t>-</t>
        </is>
      </c>
      <c r="F34" s="7" t="n">
        <v>55</v>
      </c>
      <c r="G34" s="5">
        <f>IF(F34&gt;=60,"及格","不及格")</f>
        <v/>
      </c>
    </row>
    <row r="35">
      <c r="A35" s="4" t="n">
        <v>32</v>
      </c>
      <c r="B35" s="5" t="inlineStr">
        <is>
          <t>鍾于凡</t>
        </is>
      </c>
      <c r="C35" s="5" t="n">
        <v>78</v>
      </c>
      <c r="D35" s="5" t="n">
        <v>75</v>
      </c>
      <c r="E35" s="5" t="inlineStr">
        <is>
          <t>-</t>
        </is>
      </c>
      <c r="F35" s="6" t="n">
        <v>78</v>
      </c>
      <c r="G35" s="5">
        <f>IF(F35&gt;=60,"及格","不及格")</f>
        <v/>
      </c>
    </row>
    <row r="36">
      <c r="A36" s="4" t="n">
        <v>33</v>
      </c>
      <c r="B36" s="5" t="inlineStr">
        <is>
          <t>羅名廷</t>
        </is>
      </c>
      <c r="C36" s="5" t="inlineStr">
        <is>
          <t>X</t>
        </is>
      </c>
      <c r="D36" s="5" t="inlineStr">
        <is>
          <t>X</t>
        </is>
      </c>
      <c r="E36" s="5" t="inlineStr">
        <is>
          <t>-</t>
        </is>
      </c>
      <c r="F36" s="7" t="n">
        <v>55</v>
      </c>
      <c r="G36" s="5">
        <f>IF(F36&gt;=60,"及格","不及格")</f>
        <v/>
      </c>
    </row>
    <row r="37">
      <c r="A37" s="4" t="n">
        <v>34</v>
      </c>
      <c r="B37" s="5" t="inlineStr">
        <is>
          <t>羅翊嘉</t>
        </is>
      </c>
      <c r="C37" s="5" t="inlineStr">
        <is>
          <t>X</t>
        </is>
      </c>
      <c r="D37" s="5" t="inlineStr">
        <is>
          <t>X</t>
        </is>
      </c>
      <c r="E37" s="5" t="inlineStr">
        <is>
          <t>-</t>
        </is>
      </c>
      <c r="F37" s="7" t="n">
        <v>55</v>
      </c>
      <c r="G37" s="5">
        <f>IF(F37&gt;=60,"及格","不及格")</f>
        <v/>
      </c>
    </row>
    <row r="38">
      <c r="A38" s="4" t="n">
        <v>35</v>
      </c>
      <c r="B38" s="5" t="inlineStr">
        <is>
          <t>羅煒璋</t>
        </is>
      </c>
      <c r="C38" s="5" t="n">
        <v>85</v>
      </c>
      <c r="D38" s="5" t="n">
        <v>80</v>
      </c>
      <c r="E38" s="5" t="inlineStr">
        <is>
          <t>-</t>
        </is>
      </c>
      <c r="F38" s="6" t="n">
        <v>84</v>
      </c>
      <c r="G38" s="5">
        <f>IF(F38&gt;=60,"及格","不及格")</f>
        <v/>
      </c>
    </row>
    <row r="39">
      <c r="A39" s="8" t="n"/>
      <c r="B39" s="9" t="inlineStr">
        <is>
          <t>全班平均 (總分)</t>
        </is>
      </c>
      <c r="C39" s="8" t="n"/>
      <c r="D39" s="8" t="n"/>
      <c r="E39" s="8" t="n"/>
      <c r="F39" s="10">
        <f>AVERAGE(F5:F38)</f>
        <v/>
      </c>
      <c r="G39" s="8" t="n"/>
    </row>
    <row r="40">
      <c r="A40" s="8" t="n"/>
      <c r="B40" s="9" t="inlineStr">
        <is>
          <t>及格人數 (總分&gt;=60)</t>
        </is>
      </c>
      <c r="C40" s="8" t="n"/>
      <c r="D40" s="8" t="n"/>
      <c r="E40" s="8" t="n"/>
      <c r="F40" s="9">
        <f>COUNTIF(F5:F38, "&gt;=60")</f>
        <v/>
      </c>
      <c r="G40" s="8" t="n"/>
    </row>
    <row r="41">
      <c r="A41" s="8" t="n"/>
      <c r="B41" s="9" t="inlineStr">
        <is>
          <t>不及格人數 (總分&lt;60)</t>
        </is>
      </c>
      <c r="C41" s="8" t="n"/>
      <c r="D41" s="8" t="n"/>
      <c r="E41" s="8" t="n"/>
      <c r="F41" s="9">
        <f>COUNTIF(F5:F38, "&lt;60")</f>
        <v/>
      </c>
      <c r="G41" s="8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資訊二甲 平時進度與驗收抽測紀錄表</t>
        </is>
      </c>
    </row>
    <row r="2">
      <c r="A2" s="2" t="inlineStr">
        <is>
          <t>原始來源檔：SKMBT_36326100107170.pdf ｜ 登記班級人數：19位名冊 ｜ 包含 4/9、5/28、6/4、6/11、6/18、6/25</t>
        </is>
      </c>
    </row>
    <row r="3"/>
    <row r="4">
      <c r="A4" s="11" t="inlineStr">
        <is>
          <t>座號</t>
        </is>
      </c>
      <c r="B4" s="11" t="inlineStr">
        <is>
          <t>姓名</t>
        </is>
      </c>
      <c r="C4" s="11" t="inlineStr">
        <is>
          <t>4/9 進度</t>
        </is>
      </c>
      <c r="D4" s="11" t="inlineStr">
        <is>
          <t>5/28</t>
        </is>
      </c>
      <c r="E4" s="11" t="inlineStr">
        <is>
          <t>5/28 2ET</t>
        </is>
      </c>
      <c r="F4" s="11" t="inlineStr">
        <is>
          <t>6/11 2AM</t>
        </is>
      </c>
      <c r="G4" s="11" t="inlineStr">
        <is>
          <t>6/18 1AL</t>
        </is>
      </c>
      <c r="H4" s="11" t="inlineStr">
        <is>
          <t>6/25 2BTN 總評分</t>
        </is>
      </c>
    </row>
    <row r="5">
      <c r="A5" s="4" t="n">
        <v>1</v>
      </c>
      <c r="B5" s="4" t="inlineStr">
        <is>
          <t>張軒萱</t>
        </is>
      </c>
      <c r="C5" s="5" t="inlineStr">
        <is>
          <t>4</t>
        </is>
      </c>
      <c r="D5" s="5" t="inlineStr">
        <is>
          <t>缺考</t>
        </is>
      </c>
      <c r="E5" s="5" t="inlineStr">
        <is>
          <t>-</t>
        </is>
      </c>
      <c r="F5" s="5" t="inlineStr">
        <is>
          <t>V / V</t>
        </is>
      </c>
      <c r="G5" s="5" t="inlineStr">
        <is>
          <t>14</t>
        </is>
      </c>
      <c r="H5" s="6" t="n">
        <v>80</v>
      </c>
    </row>
    <row r="6">
      <c r="A6" s="4" t="n">
        <v>4</v>
      </c>
      <c r="B6" s="4" t="inlineStr">
        <is>
          <t>程語凡</t>
        </is>
      </c>
      <c r="C6" s="5" t="inlineStr">
        <is>
          <t>7</t>
        </is>
      </c>
      <c r="D6" s="5" t="inlineStr">
        <is>
          <t>V</t>
        </is>
      </c>
      <c r="E6" s="5" t="inlineStr">
        <is>
          <t>4 (X)</t>
        </is>
      </c>
      <c r="F6" s="5" t="inlineStr">
        <is>
          <t>X</t>
        </is>
      </c>
      <c r="G6" s="5" t="inlineStr">
        <is>
          <t>-</t>
        </is>
      </c>
      <c r="H6" s="5" t="inlineStr">
        <is>
          <t>-</t>
        </is>
      </c>
    </row>
    <row r="7">
      <c r="A7" s="4" t="n">
        <v>5</v>
      </c>
      <c r="B7" s="4" t="inlineStr">
        <is>
          <t>詹晏妮</t>
        </is>
      </c>
      <c r="C7" s="5" t="inlineStr">
        <is>
          <t>8</t>
        </is>
      </c>
      <c r="D7" s="5" t="inlineStr">
        <is>
          <t>V</t>
        </is>
      </c>
      <c r="E7" s="5" t="inlineStr">
        <is>
          <t>10</t>
        </is>
      </c>
      <c r="F7" s="5" t="inlineStr">
        <is>
          <t>V / V</t>
        </is>
      </c>
      <c r="G7" s="5" t="inlineStr">
        <is>
          <t>6</t>
        </is>
      </c>
      <c r="H7" s="6" t="n">
        <v>84</v>
      </c>
    </row>
    <row r="8">
      <c r="A8" s="4" t="n">
        <v>6</v>
      </c>
      <c r="B8" s="4" t="inlineStr">
        <is>
          <t>廖秀美</t>
        </is>
      </c>
      <c r="C8" s="5" t="inlineStr">
        <is>
          <t>11</t>
        </is>
      </c>
      <c r="D8" s="5" t="inlineStr">
        <is>
          <t>V</t>
        </is>
      </c>
      <c r="E8" s="5" t="inlineStr">
        <is>
          <t>6</t>
        </is>
      </c>
      <c r="F8" s="5" t="inlineStr">
        <is>
          <t>V / 4</t>
        </is>
      </c>
      <c r="G8" s="5" t="inlineStr">
        <is>
          <t>12</t>
        </is>
      </c>
      <c r="H8" s="6" t="n">
        <v>78</v>
      </c>
    </row>
    <row r="9">
      <c r="A9" s="4" t="n">
        <v>8</v>
      </c>
      <c r="B9" s="4" t="inlineStr">
        <is>
          <t>方鴻鈞</t>
        </is>
      </c>
      <c r="C9" s="5" t="inlineStr">
        <is>
          <t>9</t>
        </is>
      </c>
      <c r="D9" s="5" t="inlineStr">
        <is>
          <t>學科</t>
        </is>
      </c>
      <c r="E9" s="5" t="inlineStr">
        <is>
          <t>8 (X)</t>
        </is>
      </c>
      <c r="F9" s="5" t="inlineStr">
        <is>
          <t>X</t>
        </is>
      </c>
      <c r="G9" s="5" t="inlineStr">
        <is>
          <t>-</t>
        </is>
      </c>
      <c r="H9" s="5" t="inlineStr">
        <is>
          <t>-</t>
        </is>
      </c>
    </row>
    <row r="10">
      <c r="A10" s="4" t="n">
        <v>10</v>
      </c>
      <c r="B10" s="4" t="inlineStr">
        <is>
          <t>王皓庭</t>
        </is>
      </c>
      <c r="C10" s="5" t="inlineStr">
        <is>
          <t>-</t>
        </is>
      </c>
      <c r="D10" s="5" t="inlineStr">
        <is>
          <t>畢業典禮</t>
        </is>
      </c>
      <c r="E10" s="5" t="inlineStr">
        <is>
          <t>X</t>
        </is>
      </c>
      <c r="F10" s="5" t="inlineStr">
        <is>
          <t>X</t>
        </is>
      </c>
      <c r="G10" s="5" t="inlineStr">
        <is>
          <t>-</t>
        </is>
      </c>
      <c r="H10" s="5" t="inlineStr">
        <is>
          <t>-</t>
        </is>
      </c>
    </row>
    <row r="11">
      <c r="A11" s="4" t="n">
        <v>11</v>
      </c>
      <c r="B11" s="4" t="inlineStr">
        <is>
          <t>朱家潤</t>
        </is>
      </c>
      <c r="C11" s="5" t="inlineStr">
        <is>
          <t>14</t>
        </is>
      </c>
      <c r="D11" s="5" t="inlineStr">
        <is>
          <t>V</t>
        </is>
      </c>
      <c r="E11" s="5" t="inlineStr">
        <is>
          <t>14</t>
        </is>
      </c>
      <c r="F11" s="5" t="inlineStr">
        <is>
          <t>V / V</t>
        </is>
      </c>
      <c r="G11" s="5" t="inlineStr">
        <is>
          <t>10</t>
        </is>
      </c>
      <c r="H11" s="6" t="n">
        <v>75</v>
      </c>
    </row>
    <row r="12">
      <c r="A12" s="4" t="n">
        <v>13</v>
      </c>
      <c r="B12" s="4" t="inlineStr">
        <is>
          <t>李宜叡</t>
        </is>
      </c>
      <c r="C12" s="5" t="inlineStr">
        <is>
          <t>3</t>
        </is>
      </c>
      <c r="D12" s="5" t="inlineStr">
        <is>
          <t>V</t>
        </is>
      </c>
      <c r="E12" s="5" t="inlineStr">
        <is>
          <t>2</t>
        </is>
      </c>
      <c r="F12" s="5" t="inlineStr">
        <is>
          <t>V / 2</t>
        </is>
      </c>
      <c r="G12" s="5" t="inlineStr">
        <is>
          <t>7</t>
        </is>
      </c>
      <c r="H12" s="6" t="n">
        <v>81</v>
      </c>
    </row>
    <row r="13">
      <c r="A13" s="4" t="n">
        <v>15</v>
      </c>
      <c r="B13" s="4" t="inlineStr">
        <is>
          <t>胡加澤</t>
        </is>
      </c>
      <c r="C13" s="5" t="inlineStr">
        <is>
          <t>5</t>
        </is>
      </c>
      <c r="D13" s="5" t="inlineStr">
        <is>
          <t>V</t>
        </is>
      </c>
      <c r="E13" s="5" t="inlineStr">
        <is>
          <t>13</t>
        </is>
      </c>
      <c r="F13" s="5" t="inlineStr">
        <is>
          <t>V / 缺</t>
        </is>
      </c>
      <c r="G13" s="5" t="inlineStr">
        <is>
          <t>8</t>
        </is>
      </c>
      <c r="H13" s="6" t="n">
        <v>80</v>
      </c>
    </row>
    <row r="14">
      <c r="A14" s="4" t="n">
        <v>18</v>
      </c>
      <c r="B14" s="4" t="inlineStr">
        <is>
          <t>張脩宸</t>
        </is>
      </c>
      <c r="C14" s="5" t="inlineStr">
        <is>
          <t>6</t>
        </is>
      </c>
      <c r="D14" s="5" t="inlineStr">
        <is>
          <t>V</t>
        </is>
      </c>
      <c r="E14" s="5" t="inlineStr">
        <is>
          <t>3</t>
        </is>
      </c>
      <c r="F14" s="5" t="inlineStr">
        <is>
          <t>V / 3</t>
        </is>
      </c>
      <c r="G14" s="5" t="inlineStr">
        <is>
          <t>2</t>
        </is>
      </c>
      <c r="H14" s="6" t="n">
        <v>89</v>
      </c>
    </row>
    <row r="15">
      <c r="A15" s="4" t="n">
        <v>20</v>
      </c>
      <c r="B15" s="4" t="inlineStr">
        <is>
          <t>許智閔</t>
        </is>
      </c>
      <c r="C15" s="5" t="inlineStr">
        <is>
          <t>10</t>
        </is>
      </c>
      <c r="D15" s="5" t="inlineStr">
        <is>
          <t>V</t>
        </is>
      </c>
      <c r="E15" s="5" t="inlineStr">
        <is>
          <t>9</t>
        </is>
      </c>
      <c r="F15" s="5" t="inlineStr">
        <is>
          <t>V / V</t>
        </is>
      </c>
      <c r="G15" s="5" t="inlineStr">
        <is>
          <t>5</t>
        </is>
      </c>
      <c r="H15" s="6" t="n">
        <v>85</v>
      </c>
    </row>
    <row r="16">
      <c r="A16" s="4" t="n">
        <v>22</v>
      </c>
      <c r="B16" s="4" t="inlineStr">
        <is>
          <t>陳帝廷</t>
        </is>
      </c>
      <c r="C16" s="5" t="inlineStr">
        <is>
          <t>2</t>
        </is>
      </c>
      <c r="D16" s="5" t="inlineStr">
        <is>
          <t>典禮</t>
        </is>
      </c>
      <c r="E16" s="5" t="inlineStr">
        <is>
          <t>-</t>
        </is>
      </c>
      <c r="F16" s="5" t="inlineStr">
        <is>
          <t>V / 1</t>
        </is>
      </c>
      <c r="G16" s="5" t="inlineStr">
        <is>
          <t>9</t>
        </is>
      </c>
      <c r="H16" s="6" t="n">
        <v>80</v>
      </c>
    </row>
    <row r="17">
      <c r="A17" s="4" t="n">
        <v>23</v>
      </c>
      <c r="B17" s="4" t="inlineStr">
        <is>
          <t>陳稟諺</t>
        </is>
      </c>
      <c r="C17" s="5" t="inlineStr">
        <is>
          <t>-</t>
        </is>
      </c>
      <c r="D17" s="5" t="inlineStr">
        <is>
          <t>V</t>
        </is>
      </c>
      <c r="E17" s="5" t="inlineStr">
        <is>
          <t>V</t>
        </is>
      </c>
      <c r="F17" s="5" t="inlineStr">
        <is>
          <t>V / V</t>
        </is>
      </c>
      <c r="G17" s="5" t="inlineStr">
        <is>
          <t>13</t>
        </is>
      </c>
      <c r="H17" s="6" t="n">
        <v>79</v>
      </c>
    </row>
    <row r="18">
      <c r="A18" s="4" t="n">
        <v>24</v>
      </c>
      <c r="B18" s="4" t="inlineStr">
        <is>
          <t>陳德恩</t>
        </is>
      </c>
      <c r="C18" s="5" t="inlineStr">
        <is>
          <t>-</t>
        </is>
      </c>
      <c r="D18" s="5" t="inlineStr">
        <is>
          <t>V</t>
        </is>
      </c>
      <c r="E18" s="5" t="inlineStr">
        <is>
          <t>11 (X)</t>
        </is>
      </c>
      <c r="F18" s="5" t="inlineStr">
        <is>
          <t>X</t>
        </is>
      </c>
      <c r="G18" s="5" t="inlineStr">
        <is>
          <t>-</t>
        </is>
      </c>
      <c r="H18" s="5" t="inlineStr">
        <is>
          <t>-</t>
        </is>
      </c>
    </row>
    <row r="19">
      <c r="A19" s="4" t="n">
        <v>26</v>
      </c>
      <c r="B19" s="4" t="inlineStr">
        <is>
          <t>曾聖宏</t>
        </is>
      </c>
      <c r="C19" s="5" t="inlineStr">
        <is>
          <t>1</t>
        </is>
      </c>
      <c r="D19" s="5" t="inlineStr">
        <is>
          <t>V</t>
        </is>
      </c>
      <c r="E19" s="5" t="inlineStr">
        <is>
          <t>7</t>
        </is>
      </c>
      <c r="F19" s="5" t="inlineStr">
        <is>
          <t>V / 缺</t>
        </is>
      </c>
      <c r="G19" s="5" t="inlineStr">
        <is>
          <t>1</t>
        </is>
      </c>
      <c r="H19" s="6" t="n">
        <v>90</v>
      </c>
    </row>
    <row r="20">
      <c r="A20" s="4" t="n">
        <v>29</v>
      </c>
      <c r="B20" s="4" t="inlineStr">
        <is>
          <t>劉睿哲</t>
        </is>
      </c>
      <c r="C20" s="5" t="inlineStr">
        <is>
          <t>16</t>
        </is>
      </c>
      <c r="D20" s="5" t="inlineStr">
        <is>
          <t>V</t>
        </is>
      </c>
      <c r="E20" s="5" t="inlineStr">
        <is>
          <t>5</t>
        </is>
      </c>
      <c r="F20" s="5" t="inlineStr">
        <is>
          <t>V / V</t>
        </is>
      </c>
      <c r="G20" s="5" t="inlineStr">
        <is>
          <t>缺</t>
        </is>
      </c>
      <c r="H20" s="6" t="n">
        <v>81</v>
      </c>
    </row>
    <row r="21">
      <c r="A21" s="4" t="n">
        <v>30</v>
      </c>
      <c r="B21" s="4" t="inlineStr">
        <is>
          <t>蕭丙宏</t>
        </is>
      </c>
      <c r="C21" s="5" t="inlineStr">
        <is>
          <t>15</t>
        </is>
      </c>
      <c r="D21" s="5" t="inlineStr">
        <is>
          <t>V</t>
        </is>
      </c>
      <c r="E21" s="5" t="inlineStr">
        <is>
          <t>17</t>
        </is>
      </c>
      <c r="F21" s="5" t="inlineStr">
        <is>
          <t>V / V</t>
        </is>
      </c>
      <c r="G21" s="5" t="inlineStr">
        <is>
          <t>4</t>
        </is>
      </c>
      <c r="H21" s="6" t="n">
        <v>85</v>
      </c>
    </row>
    <row r="22">
      <c r="A22" s="4" t="n">
        <v>32</v>
      </c>
      <c r="B22" s="4" t="inlineStr">
        <is>
          <t>鍾于凡</t>
        </is>
      </c>
      <c r="C22" s="5" t="inlineStr">
        <is>
          <t>12</t>
        </is>
      </c>
      <c r="D22" s="5" t="inlineStr">
        <is>
          <t>V</t>
        </is>
      </c>
      <c r="E22" s="5" t="inlineStr">
        <is>
          <t>-</t>
        </is>
      </c>
      <c r="F22" s="5" t="inlineStr">
        <is>
          <t>V / V</t>
        </is>
      </c>
      <c r="G22" s="5" t="inlineStr">
        <is>
          <t>11</t>
        </is>
      </c>
      <c r="H22" s="6" t="n">
        <v>74</v>
      </c>
    </row>
    <row r="23">
      <c r="A23" s="4" t="n">
        <v>35</v>
      </c>
      <c r="B23" s="4" t="inlineStr">
        <is>
          <t>羅煒璋</t>
        </is>
      </c>
      <c r="C23" s="5" t="inlineStr">
        <is>
          <t>13</t>
        </is>
      </c>
      <c r="D23" s="5" t="inlineStr">
        <is>
          <t>V</t>
        </is>
      </c>
      <c r="E23" s="5" t="inlineStr">
        <is>
          <t>12</t>
        </is>
      </c>
      <c r="F23" s="5" t="inlineStr">
        <is>
          <t>V / V</t>
        </is>
      </c>
      <c r="G23" s="5" t="inlineStr">
        <is>
          <t>3</t>
        </is>
      </c>
      <c r="H23" s="6" t="n">
        <v>85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100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資訊二甲 課堂作業與實習檢查核章表</t>
        </is>
      </c>
    </row>
    <row r="2">
      <c r="A2" s="2" t="inlineStr">
        <is>
          <t>原始來源檔：SKMBT_36326100107180.pdf &amp; SKMBT_36326100107182.pdf ｜ 彙整課堂打勾 (V)、OK、缺交紀錄</t>
        </is>
      </c>
    </row>
    <row r="3"/>
    <row r="4">
      <c r="A4" s="12" t="inlineStr">
        <is>
          <t>座號</t>
        </is>
      </c>
      <c r="B4" s="12" t="inlineStr">
        <is>
          <t>姓名</t>
        </is>
      </c>
      <c r="C4" s="12" t="inlineStr">
        <is>
          <t>4/23 課堂驗收</t>
        </is>
      </c>
      <c r="D4" s="12" t="inlineStr">
        <is>
          <t>4/30 電開關</t>
        </is>
      </c>
      <c r="E4" s="12" t="inlineStr">
        <is>
          <t>5/21 驗收</t>
        </is>
      </c>
      <c r="F4" s="12" t="inlineStr">
        <is>
          <t>5/28</t>
        </is>
      </c>
      <c r="G4" s="12" t="inlineStr">
        <is>
          <t>6/11 呼吸燈</t>
        </is>
      </c>
      <c r="H4" s="12" t="inlineStr">
        <is>
          <t>6/18 實習OK</t>
        </is>
      </c>
    </row>
    <row r="5">
      <c r="A5" s="4" t="n">
        <v>1</v>
      </c>
      <c r="B5" s="4" t="inlineStr">
        <is>
          <t>張軒萱</t>
        </is>
      </c>
      <c r="C5" s="5" t="inlineStr">
        <is>
          <t>OK (09:49)</t>
        </is>
      </c>
      <c r="D5" s="5" t="inlineStr">
        <is>
          <t>V</t>
        </is>
      </c>
      <c r="E5" s="5" t="inlineStr">
        <is>
          <t>V</t>
        </is>
      </c>
      <c r="F5" s="5" t="inlineStr">
        <is>
          <t>V</t>
        </is>
      </c>
      <c r="G5" s="5" t="inlineStr">
        <is>
          <t>V</t>
        </is>
      </c>
      <c r="H5" s="5" t="inlineStr">
        <is>
          <t>OK</t>
        </is>
      </c>
    </row>
    <row r="6">
      <c r="A6" s="4" t="n">
        <v>2</v>
      </c>
      <c r="B6" s="4" t="inlineStr">
        <is>
          <t>張瑋真</t>
        </is>
      </c>
      <c r="C6" s="5" t="inlineStr">
        <is>
          <t>OK</t>
        </is>
      </c>
      <c r="D6" s="5" t="inlineStr">
        <is>
          <t>V</t>
        </is>
      </c>
      <c r="E6" s="5" t="inlineStr">
        <is>
          <t>V</t>
        </is>
      </c>
      <c r="F6" s="5" t="inlineStr">
        <is>
          <t>V</t>
        </is>
      </c>
      <c r="G6" s="5" t="inlineStr">
        <is>
          <t>V</t>
        </is>
      </c>
      <c r="H6" s="5" t="inlineStr">
        <is>
          <t>OK</t>
        </is>
      </c>
    </row>
    <row r="7">
      <c r="A7" s="4" t="n">
        <v>4</v>
      </c>
      <c r="B7" s="4" t="inlineStr">
        <is>
          <t>程語凡</t>
        </is>
      </c>
      <c r="C7" s="5" t="inlineStr">
        <is>
          <t>OK (09:50)</t>
        </is>
      </c>
      <c r="D7" s="5" t="inlineStr">
        <is>
          <t>V</t>
        </is>
      </c>
      <c r="E7" s="5" t="inlineStr">
        <is>
          <t>V</t>
        </is>
      </c>
      <c r="F7" s="5" t="inlineStr">
        <is>
          <t>V</t>
        </is>
      </c>
      <c r="G7" s="5" t="inlineStr">
        <is>
          <t>V</t>
        </is>
      </c>
      <c r="H7" s="5" t="inlineStr">
        <is>
          <t>OK</t>
        </is>
      </c>
    </row>
    <row r="8">
      <c r="A8" s="4" t="n">
        <v>5</v>
      </c>
      <c r="B8" s="4" t="inlineStr">
        <is>
          <t>詹晏妮</t>
        </is>
      </c>
      <c r="C8" s="5" t="inlineStr">
        <is>
          <t>OK (10:05)</t>
        </is>
      </c>
      <c r="D8" s="5" t="inlineStr">
        <is>
          <t>V</t>
        </is>
      </c>
      <c r="E8" s="5" t="inlineStr">
        <is>
          <t>V</t>
        </is>
      </c>
      <c r="F8" s="5" t="inlineStr">
        <is>
          <t>V</t>
        </is>
      </c>
      <c r="G8" s="5" t="inlineStr">
        <is>
          <t>V</t>
        </is>
      </c>
      <c r="H8" s="5" t="inlineStr">
        <is>
          <t>OK</t>
        </is>
      </c>
    </row>
    <row r="9">
      <c r="A9" s="4" t="n">
        <v>6</v>
      </c>
      <c r="B9" s="4" t="inlineStr">
        <is>
          <t>廖秀美</t>
        </is>
      </c>
      <c r="C9" s="5" t="inlineStr">
        <is>
          <t>OK (10:12)</t>
        </is>
      </c>
      <c r="D9" s="5" t="inlineStr">
        <is>
          <t>V</t>
        </is>
      </c>
      <c r="E9" s="5" t="inlineStr">
        <is>
          <t>V</t>
        </is>
      </c>
      <c r="F9" s="5" t="inlineStr">
        <is>
          <t>V</t>
        </is>
      </c>
      <c r="G9" s="5" t="inlineStr">
        <is>
          <t>V</t>
        </is>
      </c>
      <c r="H9" s="5" t="inlineStr">
        <is>
          <t>OK</t>
        </is>
      </c>
    </row>
    <row r="10">
      <c r="A10" s="4" t="n">
        <v>7</v>
      </c>
      <c r="B10" s="4" t="inlineStr">
        <is>
          <t>尹翊丞</t>
        </is>
      </c>
      <c r="C10" s="7" t="inlineStr">
        <is>
          <t>缺考</t>
        </is>
      </c>
      <c r="D10" s="7" t="inlineStr">
        <is>
          <t>缺考</t>
        </is>
      </c>
      <c r="E10" s="5" t="inlineStr">
        <is>
          <t>-</t>
        </is>
      </c>
      <c r="F10" s="5" t="inlineStr">
        <is>
          <t>V</t>
        </is>
      </c>
      <c r="G10" s="5" t="inlineStr">
        <is>
          <t>V</t>
        </is>
      </c>
      <c r="H10" s="5" t="inlineStr">
        <is>
          <t>-</t>
        </is>
      </c>
    </row>
    <row r="11">
      <c r="A11" s="4" t="n">
        <v>8</v>
      </c>
      <c r="B11" s="4" t="inlineStr">
        <is>
          <t>方鴻鈞</t>
        </is>
      </c>
      <c r="C11" s="5" t="inlineStr">
        <is>
          <t>V</t>
        </is>
      </c>
      <c r="D11" s="5" t="inlineStr">
        <is>
          <t>V</t>
        </is>
      </c>
      <c r="E11" s="5" t="inlineStr">
        <is>
          <t>-</t>
        </is>
      </c>
      <c r="F11" s="5" t="inlineStr">
        <is>
          <t>V</t>
        </is>
      </c>
      <c r="G11" s="7" t="inlineStr">
        <is>
          <t>未過</t>
        </is>
      </c>
      <c r="H11" s="5" t="inlineStr">
        <is>
          <t>-</t>
        </is>
      </c>
    </row>
    <row r="12">
      <c r="A12" s="4" t="n">
        <v>9</v>
      </c>
      <c r="B12" s="4" t="inlineStr">
        <is>
          <t>王星皓</t>
        </is>
      </c>
      <c r="C12" s="5" t="inlineStr">
        <is>
          <t>-</t>
        </is>
      </c>
      <c r="D12" s="5" t="inlineStr">
        <is>
          <t>V</t>
        </is>
      </c>
      <c r="E12" s="5" t="inlineStr">
        <is>
          <t>-</t>
        </is>
      </c>
      <c r="F12" s="5" t="inlineStr">
        <is>
          <t>V</t>
        </is>
      </c>
      <c r="G12" s="7" t="inlineStr">
        <is>
          <t>未過</t>
        </is>
      </c>
      <c r="H12" s="5" t="inlineStr">
        <is>
          <t>-</t>
        </is>
      </c>
    </row>
    <row r="13">
      <c r="A13" s="4" t="n">
        <v>10</v>
      </c>
      <c r="B13" s="4" t="inlineStr">
        <is>
          <t>王皓庭</t>
        </is>
      </c>
      <c r="C13" s="7" t="inlineStr">
        <is>
          <t>缺考</t>
        </is>
      </c>
      <c r="D13" s="7" t="inlineStr">
        <is>
          <t>缺考</t>
        </is>
      </c>
      <c r="E13" s="5" t="inlineStr">
        <is>
          <t>-</t>
        </is>
      </c>
      <c r="F13" s="5" t="inlineStr">
        <is>
          <t>V</t>
        </is>
      </c>
      <c r="G13" s="7" t="inlineStr">
        <is>
          <t>未過</t>
        </is>
      </c>
      <c r="H13" s="5" t="inlineStr">
        <is>
          <t>-</t>
        </is>
      </c>
    </row>
    <row r="14">
      <c r="A14" s="4" t="n">
        <v>11</v>
      </c>
      <c r="B14" s="4" t="inlineStr">
        <is>
          <t>朱家潤</t>
        </is>
      </c>
      <c r="C14" s="5" t="inlineStr">
        <is>
          <t>OK (10:00)</t>
        </is>
      </c>
      <c r="D14" s="5" t="inlineStr">
        <is>
          <t>V</t>
        </is>
      </c>
      <c r="E14" s="5" t="inlineStr">
        <is>
          <t>V</t>
        </is>
      </c>
      <c r="F14" s="5" t="inlineStr">
        <is>
          <t>V</t>
        </is>
      </c>
      <c r="G14" s="5" t="inlineStr">
        <is>
          <t>V</t>
        </is>
      </c>
      <c r="H14" s="5" t="inlineStr">
        <is>
          <t>V</t>
        </is>
      </c>
    </row>
    <row r="15">
      <c r="A15" s="4" t="n">
        <v>12</v>
      </c>
      <c r="B15" s="4" t="inlineStr">
        <is>
          <t>宋宏仁</t>
        </is>
      </c>
      <c r="C15" s="5" t="inlineStr">
        <is>
          <t>V</t>
        </is>
      </c>
      <c r="D15" s="5" t="inlineStr">
        <is>
          <t>V</t>
        </is>
      </c>
      <c r="E15" s="5" t="inlineStr">
        <is>
          <t>-</t>
        </is>
      </c>
      <c r="F15" s="5" t="inlineStr">
        <is>
          <t>V</t>
        </is>
      </c>
      <c r="G15" s="5" t="inlineStr">
        <is>
          <t>V</t>
        </is>
      </c>
      <c r="H15" s="5" t="inlineStr">
        <is>
          <t>OK</t>
        </is>
      </c>
    </row>
    <row r="16">
      <c r="A16" s="4" t="n">
        <v>13</v>
      </c>
      <c r="B16" s="4" t="inlineStr">
        <is>
          <t>李宜叡</t>
        </is>
      </c>
      <c r="C16" s="5" t="inlineStr">
        <is>
          <t>OK (09:54)</t>
        </is>
      </c>
      <c r="D16" s="5" t="inlineStr">
        <is>
          <t>V</t>
        </is>
      </c>
      <c r="E16" s="5" t="inlineStr">
        <is>
          <t>V</t>
        </is>
      </c>
      <c r="F16" s="5" t="inlineStr">
        <is>
          <t>V</t>
        </is>
      </c>
      <c r="G16" s="5" t="inlineStr">
        <is>
          <t>V</t>
        </is>
      </c>
      <c r="H16" s="5" t="inlineStr">
        <is>
          <t>OK</t>
        </is>
      </c>
    </row>
    <row r="17">
      <c r="A17" s="4" t="n">
        <v>14</v>
      </c>
      <c r="B17" s="4" t="inlineStr">
        <is>
          <t>洪靖哲</t>
        </is>
      </c>
      <c r="C17" s="5" t="inlineStr">
        <is>
          <t>V</t>
        </is>
      </c>
      <c r="D17" s="5" t="inlineStr">
        <is>
          <t>V</t>
        </is>
      </c>
      <c r="E17" s="5" t="inlineStr">
        <is>
          <t>-</t>
        </is>
      </c>
      <c r="F17" s="5" t="inlineStr">
        <is>
          <t>V</t>
        </is>
      </c>
      <c r="G17" s="7" t="inlineStr">
        <is>
          <t>未過</t>
        </is>
      </c>
      <c r="H17" s="5" t="inlineStr">
        <is>
          <t>-</t>
        </is>
      </c>
    </row>
    <row r="18">
      <c r="A18" s="4" t="n">
        <v>15</v>
      </c>
      <c r="B18" s="4" t="inlineStr">
        <is>
          <t>胡加澤</t>
        </is>
      </c>
      <c r="C18" s="5" t="inlineStr">
        <is>
          <t>OK (10:01)</t>
        </is>
      </c>
      <c r="D18" s="5" t="inlineStr">
        <is>
          <t>V</t>
        </is>
      </c>
      <c r="E18" s="5" t="inlineStr">
        <is>
          <t>V</t>
        </is>
      </c>
      <c r="F18" s="5" t="inlineStr">
        <is>
          <t>V</t>
        </is>
      </c>
      <c r="G18" s="5" t="inlineStr">
        <is>
          <t>假</t>
        </is>
      </c>
      <c r="H18" s="5" t="inlineStr">
        <is>
          <t>-</t>
        </is>
      </c>
    </row>
    <row r="19">
      <c r="A19" s="4" t="n">
        <v>16</v>
      </c>
      <c r="B19" s="4" t="inlineStr">
        <is>
          <t>胡詮秀</t>
        </is>
      </c>
      <c r="C19" s="5" t="inlineStr">
        <is>
          <t>V</t>
        </is>
      </c>
      <c r="D19" s="5" t="inlineStr">
        <is>
          <t>V</t>
        </is>
      </c>
      <c r="E19" s="5" t="inlineStr">
        <is>
          <t>-</t>
        </is>
      </c>
      <c r="F19" s="5" t="inlineStr">
        <is>
          <t>V</t>
        </is>
      </c>
      <c r="G19" s="5" t="inlineStr">
        <is>
          <t>V</t>
        </is>
      </c>
      <c r="H19" s="5" t="inlineStr">
        <is>
          <t>OK</t>
        </is>
      </c>
    </row>
    <row r="20">
      <c r="A20" s="4" t="n">
        <v>17</v>
      </c>
      <c r="B20" s="4" t="inlineStr">
        <is>
          <t>范姜冠倫</t>
        </is>
      </c>
      <c r="C20" s="5" t="inlineStr">
        <is>
          <t>OK</t>
        </is>
      </c>
      <c r="D20" s="5" t="inlineStr">
        <is>
          <t>V</t>
        </is>
      </c>
      <c r="E20" s="5" t="inlineStr">
        <is>
          <t>V</t>
        </is>
      </c>
      <c r="F20" s="5" t="inlineStr">
        <is>
          <t>V</t>
        </is>
      </c>
      <c r="G20" s="5" t="inlineStr">
        <is>
          <t>V</t>
        </is>
      </c>
      <c r="H20" s="5" t="inlineStr">
        <is>
          <t>OK</t>
        </is>
      </c>
    </row>
    <row r="21">
      <c r="A21" s="4" t="n">
        <v>18</v>
      </c>
      <c r="B21" s="4" t="inlineStr">
        <is>
          <t>張脩宸</t>
        </is>
      </c>
      <c r="C21" s="5" t="inlineStr">
        <is>
          <t>OK (09:49)</t>
        </is>
      </c>
      <c r="D21" s="5" t="inlineStr">
        <is>
          <t>V</t>
        </is>
      </c>
      <c r="E21" s="5" t="inlineStr">
        <is>
          <t>V</t>
        </is>
      </c>
      <c r="F21" s="5" t="inlineStr">
        <is>
          <t>V</t>
        </is>
      </c>
      <c r="G21" s="5" t="inlineStr">
        <is>
          <t>V</t>
        </is>
      </c>
      <c r="H21" s="5" t="inlineStr">
        <is>
          <t>OK</t>
        </is>
      </c>
    </row>
    <row r="22">
      <c r="A22" s="4" t="n">
        <v>19</v>
      </c>
      <c r="B22" s="4" t="inlineStr">
        <is>
          <t>張詠傑</t>
        </is>
      </c>
      <c r="C22" s="5" t="inlineStr">
        <is>
          <t>V</t>
        </is>
      </c>
      <c r="D22" s="5" t="inlineStr">
        <is>
          <t>V</t>
        </is>
      </c>
      <c r="E22" s="5" t="inlineStr">
        <is>
          <t>-</t>
        </is>
      </c>
      <c r="F22" s="5" t="inlineStr">
        <is>
          <t>X</t>
        </is>
      </c>
      <c r="G22" s="5" t="inlineStr">
        <is>
          <t>V</t>
        </is>
      </c>
      <c r="H22" s="5" t="inlineStr">
        <is>
          <t>-</t>
        </is>
      </c>
    </row>
    <row r="23">
      <c r="A23" s="4" t="n">
        <v>20</v>
      </c>
      <c r="B23" s="4" t="inlineStr">
        <is>
          <t>許智閔</t>
        </is>
      </c>
      <c r="C23" s="5" t="inlineStr">
        <is>
          <t>OK (10:07)</t>
        </is>
      </c>
      <c r="D23" s="5" t="inlineStr">
        <is>
          <t>V</t>
        </is>
      </c>
      <c r="E23" s="5" t="inlineStr">
        <is>
          <t>V</t>
        </is>
      </c>
      <c r="F23" s="5" t="inlineStr">
        <is>
          <t>V</t>
        </is>
      </c>
      <c r="G23" s="5" t="inlineStr">
        <is>
          <t>V</t>
        </is>
      </c>
      <c r="H23" s="5" t="inlineStr">
        <is>
          <t>-</t>
        </is>
      </c>
    </row>
    <row r="24">
      <c r="A24" s="4" t="n">
        <v>21</v>
      </c>
      <c r="B24" s="4" t="inlineStr">
        <is>
          <t>陳威綸</t>
        </is>
      </c>
      <c r="C24" s="5" t="inlineStr">
        <is>
          <t>V</t>
        </is>
      </c>
      <c r="D24" s="5" t="inlineStr">
        <is>
          <t>V</t>
        </is>
      </c>
      <c r="E24" s="5" t="inlineStr">
        <is>
          <t>-</t>
        </is>
      </c>
      <c r="F24" s="5" t="inlineStr">
        <is>
          <t>V</t>
        </is>
      </c>
      <c r="G24" s="5" t="inlineStr">
        <is>
          <t>V</t>
        </is>
      </c>
      <c r="H24" s="5" t="inlineStr">
        <is>
          <t>-</t>
        </is>
      </c>
    </row>
    <row r="25">
      <c r="A25" s="4" t="n">
        <v>22</v>
      </c>
      <c r="B25" s="4" t="inlineStr">
        <is>
          <t>陳帝廷</t>
        </is>
      </c>
      <c r="C25" s="5" t="inlineStr">
        <is>
          <t>OK (10:12)</t>
        </is>
      </c>
      <c r="D25" s="5" t="inlineStr">
        <is>
          <t>V</t>
        </is>
      </c>
      <c r="E25" s="5" t="inlineStr">
        <is>
          <t>V</t>
        </is>
      </c>
      <c r="F25" s="7" t="inlineStr">
        <is>
          <t>缺</t>
        </is>
      </c>
      <c r="G25" s="5" t="inlineStr">
        <is>
          <t>V</t>
        </is>
      </c>
      <c r="H25" s="5" t="inlineStr">
        <is>
          <t>-</t>
        </is>
      </c>
    </row>
    <row r="26">
      <c r="A26" s="4" t="n">
        <v>23</v>
      </c>
      <c r="B26" s="4" t="inlineStr">
        <is>
          <t>陳稟諺</t>
        </is>
      </c>
      <c r="C26" s="5" t="inlineStr">
        <is>
          <t>V</t>
        </is>
      </c>
      <c r="D26" s="5" t="inlineStr">
        <is>
          <t>V</t>
        </is>
      </c>
      <c r="E26" s="5" t="inlineStr">
        <is>
          <t>-</t>
        </is>
      </c>
      <c r="F26" s="5" t="inlineStr">
        <is>
          <t>V</t>
        </is>
      </c>
      <c r="G26" s="5" t="inlineStr">
        <is>
          <t>V</t>
        </is>
      </c>
      <c r="H26" s="5" t="inlineStr">
        <is>
          <t>-</t>
        </is>
      </c>
    </row>
    <row r="27">
      <c r="A27" s="4" t="n">
        <v>24</v>
      </c>
      <c r="B27" s="4" t="inlineStr">
        <is>
          <t>陳德恩</t>
        </is>
      </c>
      <c r="C27" s="5" t="inlineStr">
        <is>
          <t>OK (10:09)</t>
        </is>
      </c>
      <c r="D27" s="5" t="inlineStr">
        <is>
          <t>V</t>
        </is>
      </c>
      <c r="E27" s="5" t="inlineStr">
        <is>
          <t>V</t>
        </is>
      </c>
      <c r="F27" s="5" t="inlineStr">
        <is>
          <t>V</t>
        </is>
      </c>
      <c r="G27" s="5" t="inlineStr">
        <is>
          <t>V</t>
        </is>
      </c>
      <c r="H27" s="5" t="inlineStr">
        <is>
          <t>-</t>
        </is>
      </c>
    </row>
    <row r="28">
      <c r="A28" s="4" t="n">
        <v>25</v>
      </c>
      <c r="B28" s="4" t="inlineStr">
        <is>
          <t>陸宇辰</t>
        </is>
      </c>
      <c r="C28" s="5" t="inlineStr">
        <is>
          <t>V</t>
        </is>
      </c>
      <c r="D28" s="7" t="inlineStr">
        <is>
          <t>未過</t>
        </is>
      </c>
      <c r="E28" s="5" t="inlineStr">
        <is>
          <t>-</t>
        </is>
      </c>
      <c r="F28" s="5" t="inlineStr">
        <is>
          <t>V</t>
        </is>
      </c>
      <c r="G28" s="5" t="inlineStr">
        <is>
          <t>V</t>
        </is>
      </c>
      <c r="H28" s="5" t="inlineStr">
        <is>
          <t>-</t>
        </is>
      </c>
    </row>
    <row r="29">
      <c r="A29" s="4" t="n">
        <v>26</v>
      </c>
      <c r="B29" s="4" t="inlineStr">
        <is>
          <t>曾聖宏</t>
        </is>
      </c>
      <c r="C29" s="5" t="inlineStr">
        <is>
          <t>OK (10:10)</t>
        </is>
      </c>
      <c r="D29" s="5" t="inlineStr">
        <is>
          <t>V</t>
        </is>
      </c>
      <c r="E29" s="5" t="inlineStr">
        <is>
          <t>V</t>
        </is>
      </c>
      <c r="F29" s="5" t="inlineStr">
        <is>
          <t>V</t>
        </is>
      </c>
      <c r="G29" s="5" t="inlineStr">
        <is>
          <t>V</t>
        </is>
      </c>
      <c r="H29" s="5" t="inlineStr">
        <is>
          <t>-</t>
        </is>
      </c>
    </row>
    <row r="30">
      <c r="A30" s="4" t="n">
        <v>27</v>
      </c>
      <c r="B30" s="4" t="inlineStr">
        <is>
          <t>湯峻喆</t>
        </is>
      </c>
      <c r="C30" s="5" t="inlineStr">
        <is>
          <t>V</t>
        </is>
      </c>
      <c r="D30" s="7" t="inlineStr">
        <is>
          <t>未過</t>
        </is>
      </c>
      <c r="E30" s="5" t="inlineStr">
        <is>
          <t>-</t>
        </is>
      </c>
      <c r="F30" s="7" t="inlineStr">
        <is>
          <t>缺考</t>
        </is>
      </c>
      <c r="G30" s="5" t="inlineStr">
        <is>
          <t>V</t>
        </is>
      </c>
      <c r="H30" s="5" t="inlineStr">
        <is>
          <t>-</t>
        </is>
      </c>
    </row>
    <row r="31">
      <c r="A31" s="4" t="n">
        <v>28</v>
      </c>
      <c r="B31" s="4" t="inlineStr">
        <is>
          <t>劉恩丞</t>
        </is>
      </c>
      <c r="C31" s="5" t="inlineStr">
        <is>
          <t>V</t>
        </is>
      </c>
      <c r="D31" s="5" t="inlineStr">
        <is>
          <t>V</t>
        </is>
      </c>
      <c r="E31" s="5" t="inlineStr">
        <is>
          <t>-</t>
        </is>
      </c>
      <c r="F31" s="7" t="inlineStr">
        <is>
          <t>缺考</t>
        </is>
      </c>
      <c r="G31" s="5" t="inlineStr">
        <is>
          <t>-</t>
        </is>
      </c>
      <c r="H31" s="5" t="inlineStr">
        <is>
          <t>-</t>
        </is>
      </c>
    </row>
    <row r="32">
      <c r="A32" s="4" t="n">
        <v>29</v>
      </c>
      <c r="B32" s="4" t="inlineStr">
        <is>
          <t>劉睿哲</t>
        </is>
      </c>
      <c r="C32" s="5" t="inlineStr">
        <is>
          <t>OK (10:06)</t>
        </is>
      </c>
      <c r="D32" s="5" t="inlineStr">
        <is>
          <t>V</t>
        </is>
      </c>
      <c r="E32" s="5" t="inlineStr">
        <is>
          <t>V</t>
        </is>
      </c>
      <c r="F32" s="7" t="inlineStr">
        <is>
          <t>缺</t>
        </is>
      </c>
      <c r="G32" s="5" t="inlineStr">
        <is>
          <t>V</t>
        </is>
      </c>
      <c r="H32" s="5" t="inlineStr">
        <is>
          <t>-</t>
        </is>
      </c>
    </row>
    <row r="33">
      <c r="A33" s="4" t="n">
        <v>30</v>
      </c>
      <c r="B33" s="4" t="inlineStr">
        <is>
          <t>蕭丙宏</t>
        </is>
      </c>
      <c r="C33" s="5" t="inlineStr">
        <is>
          <t>OK (10:17)</t>
        </is>
      </c>
      <c r="D33" s="5" t="inlineStr">
        <is>
          <t>V</t>
        </is>
      </c>
      <c r="E33" s="5" t="inlineStr">
        <is>
          <t>V</t>
        </is>
      </c>
      <c r="F33" s="5" t="inlineStr">
        <is>
          <t>V</t>
        </is>
      </c>
      <c r="G33" s="5" t="inlineStr">
        <is>
          <t>V</t>
        </is>
      </c>
      <c r="H33" s="5" t="inlineStr">
        <is>
          <t>-</t>
        </is>
      </c>
    </row>
    <row r="34">
      <c r="A34" s="4" t="n">
        <v>31</v>
      </c>
      <c r="B34" s="4" t="inlineStr">
        <is>
          <t>謝少軒</t>
        </is>
      </c>
      <c r="C34" s="5" t="inlineStr">
        <is>
          <t>V</t>
        </is>
      </c>
      <c r="D34" s="7" t="inlineStr">
        <is>
          <t>未過</t>
        </is>
      </c>
      <c r="E34" s="5" t="inlineStr">
        <is>
          <t>-</t>
        </is>
      </c>
      <c r="F34" s="5" t="inlineStr">
        <is>
          <t>V</t>
        </is>
      </c>
      <c r="G34" s="5" t="inlineStr">
        <is>
          <t>V</t>
        </is>
      </c>
      <c r="H34" s="5" t="inlineStr">
        <is>
          <t>-</t>
        </is>
      </c>
    </row>
    <row r="35">
      <c r="A35" s="4" t="n">
        <v>32</v>
      </c>
      <c r="B35" s="4" t="inlineStr">
        <is>
          <t>鍾于凡</t>
        </is>
      </c>
      <c r="C35" s="5" t="inlineStr">
        <is>
          <t>OK</t>
        </is>
      </c>
      <c r="D35" s="7" t="inlineStr">
        <is>
          <t>缺考</t>
        </is>
      </c>
      <c r="E35" s="5" t="inlineStr">
        <is>
          <t>-</t>
        </is>
      </c>
      <c r="F35" s="5" t="inlineStr">
        <is>
          <t>V</t>
        </is>
      </c>
      <c r="G35" s="5" t="inlineStr">
        <is>
          <t>V</t>
        </is>
      </c>
      <c r="H35" s="5" t="inlineStr">
        <is>
          <t>-</t>
        </is>
      </c>
    </row>
    <row r="36">
      <c r="A36" s="4" t="n">
        <v>33</v>
      </c>
      <c r="B36" s="4" t="inlineStr">
        <is>
          <t>羅名廷</t>
        </is>
      </c>
      <c r="C36" s="5" t="inlineStr">
        <is>
          <t>V</t>
        </is>
      </c>
      <c r="D36" s="5" t="inlineStr">
        <is>
          <t>V</t>
        </is>
      </c>
      <c r="E36" s="5" t="inlineStr">
        <is>
          <t>-</t>
        </is>
      </c>
      <c r="F36" s="5" t="inlineStr">
        <is>
          <t>V</t>
        </is>
      </c>
      <c r="G36" s="5" t="inlineStr">
        <is>
          <t>V</t>
        </is>
      </c>
      <c r="H36" s="5" t="inlineStr">
        <is>
          <t>-</t>
        </is>
      </c>
    </row>
    <row r="37">
      <c r="A37" s="4" t="n">
        <v>34</v>
      </c>
      <c r="B37" s="4" t="inlineStr">
        <is>
          <t>羅翊嘉</t>
        </is>
      </c>
      <c r="C37" s="5" t="inlineStr">
        <is>
          <t>V</t>
        </is>
      </c>
      <c r="D37" s="5" t="inlineStr">
        <is>
          <t>V</t>
        </is>
      </c>
      <c r="E37" s="5" t="inlineStr">
        <is>
          <t>-</t>
        </is>
      </c>
      <c r="F37" s="5" t="inlineStr">
        <is>
          <t>V</t>
        </is>
      </c>
      <c r="G37" s="5" t="inlineStr">
        <is>
          <t>V</t>
        </is>
      </c>
      <c r="H37" s="5" t="inlineStr">
        <is>
          <t>-</t>
        </is>
      </c>
    </row>
    <row r="38">
      <c r="A38" s="4" t="n">
        <v>35</v>
      </c>
      <c r="B38" s="4" t="inlineStr">
        <is>
          <t>羅煒璋</t>
        </is>
      </c>
      <c r="C38" s="5" t="inlineStr">
        <is>
          <t>OK (10:04)</t>
        </is>
      </c>
      <c r="D38" s="5" t="inlineStr">
        <is>
          <t>V</t>
        </is>
      </c>
      <c r="E38" s="5" t="inlineStr">
        <is>
          <t>V</t>
        </is>
      </c>
      <c r="F38" s="5" t="inlineStr">
        <is>
          <t>V</t>
        </is>
      </c>
      <c r="G38" s="5" t="inlineStr">
        <is>
          <t>V</t>
        </is>
      </c>
      <c r="H38" s="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2" customWidth="1" min="2" max="2"/>
    <col width="17" customWidth="1" min="3" max="3"/>
    <col width="19" customWidth="1" min="4" max="4"/>
    <col width="17" customWidth="1" min="5" max="5"/>
    <col width="41" customWidth="1" min="6" max="6"/>
    <col width="101" customWidth="1" min="7" max="7"/>
    <col width="31" customWidth="1" min="8" max="8"/>
    <col width="49" customWidth="1" min="9" max="9"/>
  </cols>
  <sheetData>
    <row r="1">
      <c r="A1" s="1" t="inlineStr">
        <is>
          <t>桃園市立楊梅高中 資訊二甲 學期實習與平時加權成績總表</t>
        </is>
      </c>
    </row>
    <row r="2">
      <c r="A2" s="2" t="inlineStr">
        <is>
          <t>依據紙本手寫登記成績多源整合 ｜ 加權比例：平時鍵盤蜂鳴器(40%) + 實習總考查(60%)</t>
        </is>
      </c>
    </row>
    <row r="3"/>
    <row r="4">
      <c r="A4" s="13" t="inlineStr">
        <is>
          <t>座號</t>
        </is>
      </c>
      <c r="B4" s="13" t="inlineStr">
        <is>
          <t>姓名</t>
        </is>
      </c>
      <c r="C4" s="13" t="inlineStr">
        <is>
          <t>鍵盤平時 (20%)</t>
        </is>
      </c>
      <c r="D4" s="13" t="inlineStr">
        <is>
          <t>蜂鳴器平時 (20%)</t>
        </is>
      </c>
      <c r="E4" s="13" t="inlineStr">
        <is>
          <t>實習考查 (60%)</t>
        </is>
      </c>
      <c r="F4" s="13" t="inlineStr">
        <is>
          <t>學期加權總分</t>
        </is>
      </c>
      <c r="G4" s="13" t="inlineStr">
        <is>
          <t>等第評定</t>
        </is>
      </c>
      <c r="H4" s="13" t="inlineStr">
        <is>
          <t>及格狀態</t>
        </is>
      </c>
      <c r="I4" s="13" t="inlineStr">
        <is>
          <t>備註/異常</t>
        </is>
      </c>
    </row>
    <row r="5">
      <c r="A5" s="5" t="n">
        <v>1</v>
      </c>
      <c r="B5" s="5" t="inlineStr">
        <is>
          <t>張軒萱</t>
        </is>
      </c>
      <c r="C5" s="4" t="n">
        <v>85</v>
      </c>
      <c r="D5" s="4" t="n">
        <v>85</v>
      </c>
      <c r="E5" s="4" t="n">
        <v>85</v>
      </c>
      <c r="F5" s="14">
        <f>ROUND(C5*0.2 + D5*0.2 + E5*0.6, 1)</f>
        <v/>
      </c>
      <c r="G5" s="5">
        <f>IF(F5&gt;=90,"優等(A)",IF(F5&gt;=80,"甲等(B)",IF(F5&gt;=70,"乙等(C)",IF(F5&gt;=60,"丙等(D)","丁等(E)"))))</f>
        <v/>
      </c>
      <c r="H5" s="5">
        <f>IF(F5&gt;=60,"及格","不及格")</f>
        <v/>
      </c>
      <c r="I5" s="15" t="inlineStr">
        <is>
          <t>正常</t>
        </is>
      </c>
    </row>
    <row r="6">
      <c r="A6" s="5" t="n">
        <v>2</v>
      </c>
      <c r="B6" s="5" t="inlineStr">
        <is>
          <t>張瑋真</t>
        </is>
      </c>
      <c r="C6" s="4" t="n">
        <v>70</v>
      </c>
      <c r="D6" s="4" t="n">
        <v>60</v>
      </c>
      <c r="E6" s="4" t="n">
        <v>75</v>
      </c>
      <c r="F6" s="14">
        <f>ROUND(C6*0.2 + D6*0.2 + E6*0.6, 1)</f>
        <v/>
      </c>
      <c r="G6" s="5">
        <f>IF(F6&gt;=90,"優等(A)",IF(F6&gt;=80,"甲等(B)",IF(F6&gt;=70,"乙等(C)",IF(F6&gt;=60,"丙等(D)","丁等(E)"))))</f>
        <v/>
      </c>
      <c r="H6" s="5">
        <f>IF(F6&gt;=60,"及格","不及格")</f>
        <v/>
      </c>
      <c r="I6" s="15" t="inlineStr">
        <is>
          <t>正常</t>
        </is>
      </c>
    </row>
    <row r="7">
      <c r="A7" s="5" t="n">
        <v>4</v>
      </c>
      <c r="B7" s="5" t="inlineStr">
        <is>
          <t>程語凡</t>
        </is>
      </c>
      <c r="C7" s="4" t="n">
        <v>85</v>
      </c>
      <c r="D7" s="4" t="n">
        <v>80</v>
      </c>
      <c r="E7" s="4" t="n">
        <v>80</v>
      </c>
      <c r="F7" s="14">
        <f>ROUND(C7*0.2 + D7*0.2 + E7*0.6, 1)</f>
        <v/>
      </c>
      <c r="G7" s="5">
        <f>IF(F7&gt;=90,"優等(A)",IF(F7&gt;=80,"甲等(B)",IF(F7&gt;=70,"乙等(C)",IF(F7&gt;=60,"丙等(D)","丁等(E)"))))</f>
        <v/>
      </c>
      <c r="H7" s="5">
        <f>IF(F7&gt;=60,"及格","不及格")</f>
        <v/>
      </c>
      <c r="I7" s="15" t="inlineStr">
        <is>
          <t>正常</t>
        </is>
      </c>
    </row>
    <row r="8">
      <c r="A8" s="5" t="n">
        <v>5</v>
      </c>
      <c r="B8" s="5" t="inlineStr">
        <is>
          <t>詹晏妮</t>
        </is>
      </c>
      <c r="C8" s="4" t="n">
        <v>85</v>
      </c>
      <c r="D8" s="4" t="n">
        <v>85</v>
      </c>
      <c r="E8" s="4" t="n">
        <v>88</v>
      </c>
      <c r="F8" s="14">
        <f>ROUND(C8*0.2 + D8*0.2 + E8*0.6, 1)</f>
        <v/>
      </c>
      <c r="G8" s="5">
        <f>IF(F8&gt;=90,"優等(A)",IF(F8&gt;=80,"甲等(B)",IF(F8&gt;=70,"乙等(C)",IF(F8&gt;=60,"丙等(D)","丁等(E)"))))</f>
        <v/>
      </c>
      <c r="H8" s="5">
        <f>IF(F8&gt;=60,"及格","不及格")</f>
        <v/>
      </c>
      <c r="I8" s="15" t="inlineStr">
        <is>
          <t>正常</t>
        </is>
      </c>
    </row>
    <row r="9">
      <c r="A9" s="5" t="n">
        <v>6</v>
      </c>
      <c r="B9" s="5" t="inlineStr">
        <is>
          <t>廖秀美</t>
        </is>
      </c>
      <c r="C9" s="4" t="n">
        <v>75</v>
      </c>
      <c r="D9" s="4" t="n">
        <v>75</v>
      </c>
      <c r="E9" s="4" t="n">
        <v>80</v>
      </c>
      <c r="F9" s="14">
        <f>ROUND(C9*0.2 + D9*0.2 + E9*0.6, 1)</f>
        <v/>
      </c>
      <c r="G9" s="5">
        <f>IF(F9&gt;=90,"優等(A)",IF(F9&gt;=80,"甲等(B)",IF(F9&gt;=70,"乙等(C)",IF(F9&gt;=60,"丙等(D)","丁等(E)"))))</f>
        <v/>
      </c>
      <c r="H9" s="5">
        <f>IF(F9&gt;=60,"及格","不及格")</f>
        <v/>
      </c>
      <c r="I9" s="15" t="inlineStr">
        <is>
          <t>正常</t>
        </is>
      </c>
    </row>
    <row r="10">
      <c r="A10" s="5" t="n">
        <v>7</v>
      </c>
      <c r="B10" s="5" t="inlineStr">
        <is>
          <t>尹翊丞</t>
        </is>
      </c>
      <c r="C10" s="4" t="n">
        <v>80</v>
      </c>
      <c r="D10" s="7" t="n">
        <v>0</v>
      </c>
      <c r="E10" s="4" t="n">
        <v>70</v>
      </c>
      <c r="F10" s="14">
        <f>ROUND(C10*0.2 + D10*0.2 + E10*0.6, 1)</f>
        <v/>
      </c>
      <c r="G10" s="5">
        <f>IF(F10&gt;=90,"優等(A)",IF(F10&gt;=80,"甲等(B)",IF(F10&gt;=70,"乙等(C)",IF(F10&gt;=60,"丙等(D)","丁等(E)"))))</f>
        <v/>
      </c>
      <c r="H10" s="5">
        <f>IF(F10&gt;=60,"及格","不及格")</f>
        <v/>
      </c>
      <c r="I10" s="15" t="inlineStr">
        <is>
          <t>蜂鳴器缺考</t>
        </is>
      </c>
    </row>
    <row r="11">
      <c r="A11" s="5" t="n">
        <v>8</v>
      </c>
      <c r="B11" s="5" t="inlineStr">
        <is>
          <t>方鴻鈞</t>
        </is>
      </c>
      <c r="C11" s="4" t="n">
        <v>80</v>
      </c>
      <c r="D11" s="7" t="n">
        <v>0</v>
      </c>
      <c r="E11" s="7" t="n">
        <v>55</v>
      </c>
      <c r="F11" s="14">
        <f>ROUND(C11*0.2 + D11*0.2 + E11*0.6, 1)</f>
        <v/>
      </c>
      <c r="G11" s="5">
        <f>IF(F11&gt;=90,"優等(A)",IF(F11&gt;=80,"甲等(B)",IF(F11&gt;=70,"乙等(C)",IF(F11&gt;=60,"丙等(D)","丁等(E)"))))</f>
        <v/>
      </c>
      <c r="H11" s="5">
        <f>IF(F11&gt;=60,"及格","不及格")</f>
        <v/>
      </c>
      <c r="I11" s="16" t="inlineStr">
        <is>
          <t>蜂鳴器缺考、總考查不及格、需補救教學</t>
        </is>
      </c>
    </row>
    <row r="12">
      <c r="A12" s="5" t="n">
        <v>9</v>
      </c>
      <c r="B12" s="5" t="inlineStr">
        <is>
          <t>王星皓</t>
        </is>
      </c>
      <c r="C12" s="7" t="n">
        <v>0</v>
      </c>
      <c r="D12" s="7" t="n">
        <v>0</v>
      </c>
      <c r="E12" s="7" t="n">
        <v>50</v>
      </c>
      <c r="F12" s="14">
        <f>ROUND(C12*0.2 + D12*0.2 + E12*0.6, 1)</f>
        <v/>
      </c>
      <c r="G12" s="5">
        <f>IF(F12&gt;=90,"優等(A)",IF(F12&gt;=80,"甲等(B)",IF(F12&gt;=70,"乙等(C)",IF(F12&gt;=60,"丙等(D)","丁等(E)"))))</f>
        <v/>
      </c>
      <c r="H12" s="5">
        <f>IF(F12&gt;=60,"及格","不及格")</f>
        <v/>
      </c>
      <c r="I12" s="16" t="inlineStr">
        <is>
          <t>鍵盤缺考、蜂鳴器缺考、總考查不及格、需補救教學</t>
        </is>
      </c>
    </row>
    <row r="13">
      <c r="A13" s="5" t="n">
        <v>10</v>
      </c>
      <c r="B13" s="5" t="inlineStr">
        <is>
          <t>王皓庭</t>
        </is>
      </c>
      <c r="C13" s="4" t="n">
        <v>75</v>
      </c>
      <c r="D13" s="4" t="n">
        <v>75</v>
      </c>
      <c r="E13" s="4" t="n">
        <v>60</v>
      </c>
      <c r="F13" s="14">
        <f>ROUND(C13*0.2 + D13*0.2 + E13*0.6, 1)</f>
        <v/>
      </c>
      <c r="G13" s="5">
        <f>IF(F13&gt;=90,"優等(A)",IF(F13&gt;=80,"甲等(B)",IF(F13&gt;=70,"乙等(C)",IF(F13&gt;=60,"丙等(D)","丁等(E)"))))</f>
        <v/>
      </c>
      <c r="H13" s="5">
        <f>IF(F13&gt;=60,"及格","不及格")</f>
        <v/>
      </c>
      <c r="I13" s="16" t="inlineStr">
        <is>
          <t>需補救教學</t>
        </is>
      </c>
    </row>
    <row r="14">
      <c r="A14" s="5" t="n">
        <v>11</v>
      </c>
      <c r="B14" s="5" t="inlineStr">
        <is>
          <t>朱家潤</t>
        </is>
      </c>
      <c r="C14" s="4" t="n">
        <v>78</v>
      </c>
      <c r="D14" s="4" t="n">
        <v>80</v>
      </c>
      <c r="E14" s="4" t="n">
        <v>75</v>
      </c>
      <c r="F14" s="14">
        <f>ROUND(C14*0.2 + D14*0.2 + E14*0.6, 1)</f>
        <v/>
      </c>
      <c r="G14" s="5">
        <f>IF(F14&gt;=90,"優等(A)",IF(F14&gt;=80,"甲等(B)",IF(F14&gt;=70,"乙等(C)",IF(F14&gt;=60,"丙等(D)","丁等(E)"))))</f>
        <v/>
      </c>
      <c r="H14" s="5">
        <f>IF(F14&gt;=60,"及格","不及格")</f>
        <v/>
      </c>
      <c r="I14" s="15" t="inlineStr">
        <is>
          <t>正常</t>
        </is>
      </c>
    </row>
    <row r="15">
      <c r="A15" s="5" t="n">
        <v>12</v>
      </c>
      <c r="B15" s="5" t="inlineStr">
        <is>
          <t>宋宏仁</t>
        </is>
      </c>
      <c r="C15" s="7" t="n">
        <v>0</v>
      </c>
      <c r="D15" s="4" t="n">
        <v>65</v>
      </c>
      <c r="E15" s="4" t="n">
        <v>70</v>
      </c>
      <c r="F15" s="14">
        <f>ROUND(C15*0.2 + D15*0.2 + E15*0.6, 1)</f>
        <v/>
      </c>
      <c r="G15" s="5">
        <f>IF(F15&gt;=90,"優等(A)",IF(F15&gt;=80,"甲等(B)",IF(F15&gt;=70,"乙等(C)",IF(F15&gt;=60,"丙等(D)","丁等(E)"))))</f>
        <v/>
      </c>
      <c r="H15" s="5">
        <f>IF(F15&gt;=60,"及格","不及格")</f>
        <v/>
      </c>
      <c r="I15" s="15" t="inlineStr">
        <is>
          <t>鍵盤缺考</t>
        </is>
      </c>
    </row>
    <row r="16">
      <c r="A16" s="5" t="n">
        <v>13</v>
      </c>
      <c r="B16" s="5" t="inlineStr">
        <is>
          <t>李宜叡</t>
        </is>
      </c>
      <c r="C16" s="4" t="n">
        <v>65</v>
      </c>
      <c r="D16" s="4" t="n">
        <v>70</v>
      </c>
      <c r="E16" s="4" t="n">
        <v>75</v>
      </c>
      <c r="F16" s="14">
        <f>ROUND(C16*0.2 + D16*0.2 + E16*0.6, 1)</f>
        <v/>
      </c>
      <c r="G16" s="5">
        <f>IF(F16&gt;=90,"優等(A)",IF(F16&gt;=80,"甲等(B)",IF(F16&gt;=70,"乙等(C)",IF(F16&gt;=60,"丙等(D)","丁等(E)"))))</f>
        <v/>
      </c>
      <c r="H16" s="5">
        <f>IF(F16&gt;=60,"及格","不及格")</f>
        <v/>
      </c>
      <c r="I16" s="15" t="inlineStr">
        <is>
          <t>正常</t>
        </is>
      </c>
    </row>
    <row r="17">
      <c r="A17" s="5" t="n">
        <v>14</v>
      </c>
      <c r="B17" s="5" t="inlineStr">
        <is>
          <t>洪靖哲</t>
        </is>
      </c>
      <c r="C17" s="4" t="n">
        <v>65</v>
      </c>
      <c r="D17" s="4" t="n">
        <v>70</v>
      </c>
      <c r="E17" s="4" t="n">
        <v>60</v>
      </c>
      <c r="F17" s="14">
        <f>ROUND(C17*0.2 + D17*0.2 + E17*0.6, 1)</f>
        <v/>
      </c>
      <c r="G17" s="5">
        <f>IF(F17&gt;=90,"優等(A)",IF(F17&gt;=80,"甲等(B)",IF(F17&gt;=70,"乙等(C)",IF(F17&gt;=60,"丙等(D)","丁等(E)"))))</f>
        <v/>
      </c>
      <c r="H17" s="5">
        <f>IF(F17&gt;=60,"及格","不及格")</f>
        <v/>
      </c>
      <c r="I17" s="16" t="inlineStr">
        <is>
          <t>需補救教學</t>
        </is>
      </c>
    </row>
    <row r="18">
      <c r="A18" s="5" t="n">
        <v>15</v>
      </c>
      <c r="B18" s="5" t="inlineStr">
        <is>
          <t>胡加澤</t>
        </is>
      </c>
      <c r="C18" s="7" t="n">
        <v>0</v>
      </c>
      <c r="D18" s="4" t="n">
        <v>75</v>
      </c>
      <c r="E18" s="4" t="n">
        <v>75</v>
      </c>
      <c r="F18" s="14">
        <f>ROUND(C18*0.2 + D18*0.2 + E18*0.6, 1)</f>
        <v/>
      </c>
      <c r="G18" s="5">
        <f>IF(F18&gt;=90,"優等(A)",IF(F18&gt;=80,"甲等(B)",IF(F18&gt;=70,"乙等(C)",IF(F18&gt;=60,"丙等(D)","丁等(E)"))))</f>
        <v/>
      </c>
      <c r="H18" s="5">
        <f>IF(F18&gt;=60,"及格","不及格")</f>
        <v/>
      </c>
      <c r="I18" s="15" t="inlineStr">
        <is>
          <t>鍵盤缺考</t>
        </is>
      </c>
    </row>
    <row r="19">
      <c r="A19" s="5" t="n">
        <v>16</v>
      </c>
      <c r="B19" s="5" t="inlineStr">
        <is>
          <t>胡詮秀</t>
        </is>
      </c>
      <c r="C19" s="4" t="n">
        <v>75</v>
      </c>
      <c r="D19" s="4" t="n">
        <v>75</v>
      </c>
      <c r="E19" s="4" t="n">
        <v>78</v>
      </c>
      <c r="F19" s="14">
        <f>ROUND(C19*0.2 + D19*0.2 + E19*0.6, 1)</f>
        <v/>
      </c>
      <c r="G19" s="5">
        <f>IF(F19&gt;=90,"優等(A)",IF(F19&gt;=80,"甲等(B)",IF(F19&gt;=70,"乙等(C)",IF(F19&gt;=60,"丙等(D)","丁等(E)"))))</f>
        <v/>
      </c>
      <c r="H19" s="5">
        <f>IF(F19&gt;=60,"及格","不及格")</f>
        <v/>
      </c>
      <c r="I19" s="15" t="inlineStr">
        <is>
          <t>正常</t>
        </is>
      </c>
    </row>
    <row r="20">
      <c r="A20" s="5" t="n">
        <v>17</v>
      </c>
      <c r="B20" s="5" t="inlineStr">
        <is>
          <t>范姜冠倫</t>
        </is>
      </c>
      <c r="C20" s="4" t="n">
        <v>78</v>
      </c>
      <c r="D20" s="4" t="n">
        <v>65</v>
      </c>
      <c r="E20" s="4" t="n">
        <v>80</v>
      </c>
      <c r="F20" s="14">
        <f>ROUND(C20*0.2 + D20*0.2 + E20*0.6, 1)</f>
        <v/>
      </c>
      <c r="G20" s="5">
        <f>IF(F20&gt;=90,"優等(A)",IF(F20&gt;=80,"甲等(B)",IF(F20&gt;=70,"乙等(C)",IF(F20&gt;=60,"丙等(D)","丁等(E)"))))</f>
        <v/>
      </c>
      <c r="H20" s="5">
        <f>IF(F20&gt;=60,"及格","不及格")</f>
        <v/>
      </c>
      <c r="I20" s="15" t="inlineStr">
        <is>
          <t>正常</t>
        </is>
      </c>
    </row>
    <row r="21">
      <c r="A21" s="5" t="n">
        <v>18</v>
      </c>
      <c r="B21" s="5" t="inlineStr">
        <is>
          <t>張脩宸</t>
        </is>
      </c>
      <c r="C21" s="4" t="n">
        <v>85</v>
      </c>
      <c r="D21" s="4" t="n">
        <v>85</v>
      </c>
      <c r="E21" s="4" t="n">
        <v>89</v>
      </c>
      <c r="F21" s="14">
        <f>ROUND(C21*0.2 + D21*0.2 + E21*0.6, 1)</f>
        <v/>
      </c>
      <c r="G21" s="5">
        <f>IF(F21&gt;=90,"優等(A)",IF(F21&gt;=80,"甲等(B)",IF(F21&gt;=70,"乙等(C)",IF(F21&gt;=60,"丙等(D)","丁等(E)"))))</f>
        <v/>
      </c>
      <c r="H21" s="5">
        <f>IF(F21&gt;=60,"及格","不及格")</f>
        <v/>
      </c>
      <c r="I21" s="15" t="inlineStr">
        <is>
          <t>正常</t>
        </is>
      </c>
    </row>
    <row r="22">
      <c r="A22" s="5" t="n">
        <v>19</v>
      </c>
      <c r="B22" s="5" t="inlineStr">
        <is>
          <t>張詠傑</t>
        </is>
      </c>
      <c r="C22" s="4" t="n">
        <v>72</v>
      </c>
      <c r="D22" s="4" t="n">
        <v>70</v>
      </c>
      <c r="E22" s="7" t="n">
        <v>55</v>
      </c>
      <c r="F22" s="14">
        <f>ROUND(C22*0.2 + D22*0.2 + E22*0.6, 1)</f>
        <v/>
      </c>
      <c r="G22" s="5">
        <f>IF(F22&gt;=90,"優等(A)",IF(F22&gt;=80,"甲等(B)",IF(F22&gt;=70,"乙等(C)",IF(F22&gt;=60,"丙等(D)","丁等(E)"))))</f>
        <v/>
      </c>
      <c r="H22" s="5">
        <f>IF(F22&gt;=60,"及格","不及格")</f>
        <v/>
      </c>
      <c r="I22" s="16" t="inlineStr">
        <is>
          <t>總考查不及格、需補救教學</t>
        </is>
      </c>
    </row>
    <row r="23">
      <c r="A23" s="5" t="n">
        <v>20</v>
      </c>
      <c r="B23" s="5" t="inlineStr">
        <is>
          <t>許智閔</t>
        </is>
      </c>
      <c r="C23" s="4" t="n">
        <v>85</v>
      </c>
      <c r="D23" s="4" t="n">
        <v>84</v>
      </c>
      <c r="E23" s="4" t="n">
        <v>86</v>
      </c>
      <c r="F23" s="14">
        <f>ROUND(C23*0.2 + D23*0.2 + E23*0.6, 1)</f>
        <v/>
      </c>
      <c r="G23" s="5">
        <f>IF(F23&gt;=90,"優等(A)",IF(F23&gt;=80,"甲等(B)",IF(F23&gt;=70,"乙等(C)",IF(F23&gt;=60,"丙等(D)","丁等(E)"))))</f>
        <v/>
      </c>
      <c r="H23" s="5">
        <f>IF(F23&gt;=60,"及格","不及格")</f>
        <v/>
      </c>
      <c r="I23" s="15" t="inlineStr">
        <is>
          <t>正常</t>
        </is>
      </c>
    </row>
    <row r="24">
      <c r="A24" s="5" t="n">
        <v>21</v>
      </c>
      <c r="B24" s="5" t="inlineStr">
        <is>
          <t>陳威綸</t>
        </is>
      </c>
      <c r="C24" s="4" t="n">
        <v>68</v>
      </c>
      <c r="D24" s="4" t="n">
        <v>65</v>
      </c>
      <c r="E24" s="4" t="n">
        <v>69</v>
      </c>
      <c r="F24" s="14">
        <f>ROUND(C24*0.2 + D24*0.2 + E24*0.6, 1)</f>
        <v/>
      </c>
      <c r="G24" s="5">
        <f>IF(F24&gt;=90,"優等(A)",IF(F24&gt;=80,"甲等(B)",IF(F24&gt;=70,"乙等(C)",IF(F24&gt;=60,"丙等(D)","丁等(E)"))))</f>
        <v/>
      </c>
      <c r="H24" s="5">
        <f>IF(F24&gt;=60,"及格","不及格")</f>
        <v/>
      </c>
      <c r="I24" s="15" t="inlineStr">
        <is>
          <t>正常</t>
        </is>
      </c>
    </row>
    <row r="25">
      <c r="A25" s="5" t="n">
        <v>22</v>
      </c>
      <c r="B25" s="5" t="inlineStr">
        <is>
          <t>陳帝廷</t>
        </is>
      </c>
      <c r="C25" s="4" t="n">
        <v>85</v>
      </c>
      <c r="D25" s="4" t="n">
        <v>85</v>
      </c>
      <c r="E25" s="4" t="n">
        <v>85</v>
      </c>
      <c r="F25" s="14">
        <f>ROUND(C25*0.2 + D25*0.2 + E25*0.6, 1)</f>
        <v/>
      </c>
      <c r="G25" s="5">
        <f>IF(F25&gt;=90,"優等(A)",IF(F25&gt;=80,"甲等(B)",IF(F25&gt;=70,"乙等(C)",IF(F25&gt;=60,"丙等(D)","丁等(E)"))))</f>
        <v/>
      </c>
      <c r="H25" s="5">
        <f>IF(F25&gt;=60,"及格","不及格")</f>
        <v/>
      </c>
      <c r="I25" s="15" t="inlineStr">
        <is>
          <t>正常</t>
        </is>
      </c>
    </row>
    <row r="26">
      <c r="A26" s="5" t="n">
        <v>23</v>
      </c>
      <c r="B26" s="5" t="inlineStr">
        <is>
          <t>陳稟諺</t>
        </is>
      </c>
      <c r="C26" s="4" t="n">
        <v>85</v>
      </c>
      <c r="D26" s="4" t="n">
        <v>85</v>
      </c>
      <c r="E26" s="4" t="n">
        <v>75</v>
      </c>
      <c r="F26" s="14">
        <f>ROUND(C26*0.2 + D26*0.2 + E26*0.6, 1)</f>
        <v/>
      </c>
      <c r="G26" s="5">
        <f>IF(F26&gt;=90,"優等(A)",IF(F26&gt;=80,"甲等(B)",IF(F26&gt;=70,"乙等(C)",IF(F26&gt;=60,"丙等(D)","丁等(E)"))))</f>
        <v/>
      </c>
      <c r="H26" s="5">
        <f>IF(F26&gt;=60,"及格","不及格")</f>
        <v/>
      </c>
      <c r="I26" s="15" t="inlineStr">
        <is>
          <t>正常</t>
        </is>
      </c>
    </row>
    <row r="27">
      <c r="A27" s="5" t="n">
        <v>24</v>
      </c>
      <c r="B27" s="5" t="inlineStr">
        <is>
          <t>陳德恩</t>
        </is>
      </c>
      <c r="C27" s="7" t="n">
        <v>0</v>
      </c>
      <c r="D27" s="4" t="n">
        <v>75</v>
      </c>
      <c r="E27" s="4" t="n">
        <v>65</v>
      </c>
      <c r="F27" s="14">
        <f>ROUND(C27*0.2 + D27*0.2 + E27*0.6, 1)</f>
        <v/>
      </c>
      <c r="G27" s="5">
        <f>IF(F27&gt;=90,"優等(A)",IF(F27&gt;=80,"甲等(B)",IF(F27&gt;=70,"乙等(C)",IF(F27&gt;=60,"丙等(D)","丁等(E)"))))</f>
        <v/>
      </c>
      <c r="H27" s="5">
        <f>IF(F27&gt;=60,"及格","不及格")</f>
        <v/>
      </c>
      <c r="I27" s="15" t="inlineStr">
        <is>
          <t>鍵盤缺考</t>
        </is>
      </c>
    </row>
    <row r="28">
      <c r="A28" s="5" t="n">
        <v>25</v>
      </c>
      <c r="B28" s="5" t="inlineStr">
        <is>
          <t>陸宇辰</t>
        </is>
      </c>
      <c r="C28" s="7" t="n">
        <v>0</v>
      </c>
      <c r="D28" s="4" t="n">
        <v>65</v>
      </c>
      <c r="E28" s="4" t="n">
        <v>70</v>
      </c>
      <c r="F28" s="14">
        <f>ROUND(C28*0.2 + D28*0.2 + E28*0.6, 1)</f>
        <v/>
      </c>
      <c r="G28" s="5">
        <f>IF(F28&gt;=90,"優等(A)",IF(F28&gt;=80,"甲等(B)",IF(F28&gt;=70,"乙等(C)",IF(F28&gt;=60,"丙等(D)","丁等(E)"))))</f>
        <v/>
      </c>
      <c r="H28" s="5">
        <f>IF(F28&gt;=60,"及格","不及格")</f>
        <v/>
      </c>
      <c r="I28" s="15" t="inlineStr">
        <is>
          <t>鍵盤缺考</t>
        </is>
      </c>
    </row>
    <row r="29">
      <c r="A29" s="5" t="n">
        <v>26</v>
      </c>
      <c r="B29" s="5" t="inlineStr">
        <is>
          <t>曾聖宏</t>
        </is>
      </c>
      <c r="C29" s="4" t="n">
        <v>75</v>
      </c>
      <c r="D29" s="4" t="n">
        <v>80</v>
      </c>
      <c r="E29" s="4" t="n">
        <v>88</v>
      </c>
      <c r="F29" s="14">
        <f>ROUND(C29*0.2 + D29*0.2 + E29*0.6, 1)</f>
        <v/>
      </c>
      <c r="G29" s="5">
        <f>IF(F29&gt;=90,"優等(A)",IF(F29&gt;=80,"甲等(B)",IF(F29&gt;=70,"乙等(C)",IF(F29&gt;=60,"丙等(D)","丁等(E)"))))</f>
        <v/>
      </c>
      <c r="H29" s="5">
        <f>IF(F29&gt;=60,"及格","不及格")</f>
        <v/>
      </c>
      <c r="I29" s="15" t="inlineStr">
        <is>
          <t>正常</t>
        </is>
      </c>
    </row>
    <row r="30">
      <c r="A30" s="5" t="n">
        <v>27</v>
      </c>
      <c r="B30" s="5" t="inlineStr">
        <is>
          <t>湯峻喆</t>
        </is>
      </c>
      <c r="C30" s="7" t="n">
        <v>0</v>
      </c>
      <c r="D30" s="4" t="n">
        <v>75</v>
      </c>
      <c r="E30" s="4" t="n">
        <v>70</v>
      </c>
      <c r="F30" s="14">
        <f>ROUND(C30*0.2 + D30*0.2 + E30*0.6, 1)</f>
        <v/>
      </c>
      <c r="G30" s="5">
        <f>IF(F30&gt;=90,"優等(A)",IF(F30&gt;=80,"甲等(B)",IF(F30&gt;=70,"乙等(C)",IF(F30&gt;=60,"丙等(D)","丁等(E)"))))</f>
        <v/>
      </c>
      <c r="H30" s="5">
        <f>IF(F30&gt;=60,"及格","不及格")</f>
        <v/>
      </c>
      <c r="I30" s="15" t="inlineStr">
        <is>
          <t>鍵盤缺考</t>
        </is>
      </c>
    </row>
    <row r="31">
      <c r="A31" s="5" t="n">
        <v>28</v>
      </c>
      <c r="B31" s="5" t="inlineStr">
        <is>
          <t>劉恩丞</t>
        </is>
      </c>
      <c r="C31" s="4" t="n">
        <v>70</v>
      </c>
      <c r="D31" s="4" t="n">
        <v>70</v>
      </c>
      <c r="E31" s="4" t="n">
        <v>75</v>
      </c>
      <c r="F31" s="14">
        <f>ROUND(C31*0.2 + D31*0.2 + E31*0.6, 1)</f>
        <v/>
      </c>
      <c r="G31" s="5">
        <f>IF(F31&gt;=90,"優等(A)",IF(F31&gt;=80,"甲等(B)",IF(F31&gt;=70,"乙等(C)",IF(F31&gt;=60,"丙等(D)","丁等(E)"))))</f>
        <v/>
      </c>
      <c r="H31" s="5">
        <f>IF(F31&gt;=60,"及格","不及格")</f>
        <v/>
      </c>
      <c r="I31" s="15" t="inlineStr">
        <is>
          <t>正常</t>
        </is>
      </c>
    </row>
    <row r="32">
      <c r="A32" s="5" t="n">
        <v>29</v>
      </c>
      <c r="B32" s="5" t="inlineStr">
        <is>
          <t>劉睿哲</t>
        </is>
      </c>
      <c r="C32" s="4" t="n">
        <v>85</v>
      </c>
      <c r="D32" s="7" t="n">
        <v>0</v>
      </c>
      <c r="E32" s="4" t="n">
        <v>80</v>
      </c>
      <c r="F32" s="14">
        <f>ROUND(C32*0.2 + D32*0.2 + E32*0.6, 1)</f>
        <v/>
      </c>
      <c r="G32" s="5">
        <f>IF(F32&gt;=90,"優等(A)",IF(F32&gt;=80,"甲等(B)",IF(F32&gt;=70,"乙等(C)",IF(F32&gt;=60,"丙等(D)","丁等(E)"))))</f>
        <v/>
      </c>
      <c r="H32" s="5">
        <f>IF(F32&gt;=60,"及格","不及格")</f>
        <v/>
      </c>
      <c r="I32" s="15" t="inlineStr">
        <is>
          <t>蜂鳴器缺考</t>
        </is>
      </c>
    </row>
    <row r="33">
      <c r="A33" s="5" t="n">
        <v>30</v>
      </c>
      <c r="B33" s="5" t="inlineStr">
        <is>
          <t>蕭丙宏</t>
        </is>
      </c>
      <c r="C33" s="4" t="n">
        <v>80</v>
      </c>
      <c r="D33" s="4" t="n">
        <v>84</v>
      </c>
      <c r="E33" s="4" t="n">
        <v>85</v>
      </c>
      <c r="F33" s="14">
        <f>ROUND(C33*0.2 + D33*0.2 + E33*0.6, 1)</f>
        <v/>
      </c>
      <c r="G33" s="5">
        <f>IF(F33&gt;=90,"優等(A)",IF(F33&gt;=80,"甲等(B)",IF(F33&gt;=70,"乙等(C)",IF(F33&gt;=60,"丙等(D)","丁等(E)"))))</f>
        <v/>
      </c>
      <c r="H33" s="5">
        <f>IF(F33&gt;=60,"及格","不及格")</f>
        <v/>
      </c>
      <c r="I33" s="15" t="inlineStr">
        <is>
          <t>正常</t>
        </is>
      </c>
    </row>
    <row r="34">
      <c r="A34" s="5" t="n">
        <v>31</v>
      </c>
      <c r="B34" s="5" t="inlineStr">
        <is>
          <t>謝少軒</t>
        </is>
      </c>
      <c r="C34" s="7" t="n">
        <v>0</v>
      </c>
      <c r="D34" s="7" t="n">
        <v>0</v>
      </c>
      <c r="E34" s="7" t="n">
        <v>55</v>
      </c>
      <c r="F34" s="14">
        <f>ROUND(C34*0.2 + D34*0.2 + E34*0.6, 1)</f>
        <v/>
      </c>
      <c r="G34" s="5">
        <f>IF(F34&gt;=90,"優等(A)",IF(F34&gt;=80,"甲等(B)",IF(F34&gt;=70,"乙等(C)",IF(F34&gt;=60,"丙等(D)","丁等(E)"))))</f>
        <v/>
      </c>
      <c r="H34" s="5">
        <f>IF(F34&gt;=60,"及格","不及格")</f>
        <v/>
      </c>
      <c r="I34" s="16" t="inlineStr">
        <is>
          <t>鍵盤缺考、蜂鳴器缺考、總考查不及格、需補救教學</t>
        </is>
      </c>
    </row>
    <row r="35">
      <c r="A35" s="5" t="n">
        <v>32</v>
      </c>
      <c r="B35" s="5" t="inlineStr">
        <is>
          <t>鍾于凡</t>
        </is>
      </c>
      <c r="C35" s="4" t="n">
        <v>78</v>
      </c>
      <c r="D35" s="4" t="n">
        <v>75</v>
      </c>
      <c r="E35" s="4" t="n">
        <v>78</v>
      </c>
      <c r="F35" s="14">
        <f>ROUND(C35*0.2 + D35*0.2 + E35*0.6, 1)</f>
        <v/>
      </c>
      <c r="G35" s="5">
        <f>IF(F35&gt;=90,"優等(A)",IF(F35&gt;=80,"甲等(B)",IF(F35&gt;=70,"乙等(C)",IF(F35&gt;=60,"丙等(D)","丁等(E)"))))</f>
        <v/>
      </c>
      <c r="H35" s="5">
        <f>IF(F35&gt;=60,"及格","不及格")</f>
        <v/>
      </c>
      <c r="I35" s="15" t="inlineStr">
        <is>
          <t>正常</t>
        </is>
      </c>
    </row>
    <row r="36">
      <c r="A36" s="5" t="n">
        <v>33</v>
      </c>
      <c r="B36" s="5" t="inlineStr">
        <is>
          <t>羅名廷</t>
        </is>
      </c>
      <c r="C36" s="7" t="n">
        <v>0</v>
      </c>
      <c r="D36" s="7" t="n">
        <v>0</v>
      </c>
      <c r="E36" s="7" t="n">
        <v>55</v>
      </c>
      <c r="F36" s="14">
        <f>ROUND(C36*0.2 + D36*0.2 + E36*0.6, 1)</f>
        <v/>
      </c>
      <c r="G36" s="5">
        <f>IF(F36&gt;=90,"優等(A)",IF(F36&gt;=80,"甲等(B)",IF(F36&gt;=70,"乙等(C)",IF(F36&gt;=60,"丙等(D)","丁等(E)"))))</f>
        <v/>
      </c>
      <c r="H36" s="5">
        <f>IF(F36&gt;=60,"及格","不及格")</f>
        <v/>
      </c>
      <c r="I36" s="16" t="inlineStr">
        <is>
          <t>鍵盤缺考、蜂鳴器缺考、總考查不及格、需補救教學</t>
        </is>
      </c>
    </row>
    <row r="37">
      <c r="A37" s="5" t="n">
        <v>34</v>
      </c>
      <c r="B37" s="5" t="inlineStr">
        <is>
          <t>羅翊嘉</t>
        </is>
      </c>
      <c r="C37" s="7" t="n">
        <v>0</v>
      </c>
      <c r="D37" s="7" t="n">
        <v>0</v>
      </c>
      <c r="E37" s="7" t="n">
        <v>55</v>
      </c>
      <c r="F37" s="14">
        <f>ROUND(C37*0.2 + D37*0.2 + E37*0.6, 1)</f>
        <v/>
      </c>
      <c r="G37" s="5">
        <f>IF(F37&gt;=90,"優等(A)",IF(F37&gt;=80,"甲等(B)",IF(F37&gt;=70,"乙等(C)",IF(F37&gt;=60,"丙等(D)","丁等(E)"))))</f>
        <v/>
      </c>
      <c r="H37" s="5">
        <f>IF(F37&gt;=60,"及格","不及格")</f>
        <v/>
      </c>
      <c r="I37" s="16" t="inlineStr">
        <is>
          <t>鍵盤缺考、蜂鳴器缺考、總考查不及格、需補救教學</t>
        </is>
      </c>
    </row>
    <row r="38">
      <c r="A38" s="5" t="n">
        <v>35</v>
      </c>
      <c r="B38" s="5" t="inlineStr">
        <is>
          <t>羅煒璋</t>
        </is>
      </c>
      <c r="C38" s="4" t="n">
        <v>85</v>
      </c>
      <c r="D38" s="4" t="n">
        <v>80</v>
      </c>
      <c r="E38" s="4" t="n">
        <v>84</v>
      </c>
      <c r="F38" s="14">
        <f>ROUND(C38*0.2 + D38*0.2 + E38*0.6, 1)</f>
        <v/>
      </c>
      <c r="G38" s="5">
        <f>IF(F38&gt;=90,"優等(A)",IF(F38&gt;=80,"甲等(B)",IF(F38&gt;=70,"乙等(C)",IF(F38&gt;=60,"丙等(D)","丁等(E)"))))</f>
        <v/>
      </c>
      <c r="H38" s="5">
        <f>IF(F38&gt;=60,"及格","不及格")</f>
        <v/>
      </c>
      <c r="I38" s="15" t="inlineStr">
        <is>
          <t>正常</t>
        </is>
      </c>
    </row>
    <row r="39">
      <c r="A39" s="8" t="n"/>
      <c r="B39" s="9" t="inlineStr">
        <is>
          <t>班級加權平均</t>
        </is>
      </c>
      <c r="C39" s="8" t="n"/>
      <c r="D39" s="8" t="n"/>
      <c r="E39" s="8" t="n"/>
      <c r="F39" s="10">
        <f>AVERAGE(F5:F38)</f>
        <v/>
      </c>
      <c r="G39" s="8" t="n"/>
      <c r="H39" s="8" t="n"/>
      <c r="I39" s="8" t="n"/>
    </row>
    <row r="40">
      <c r="A40" s="8" t="n"/>
      <c r="B40" s="9" t="inlineStr">
        <is>
          <t>加權及格人數 (&gt;=60)</t>
        </is>
      </c>
      <c r="C40" s="8" t="n"/>
      <c r="D40" s="8" t="n"/>
      <c r="E40" s="8" t="n"/>
      <c r="F40" s="9">
        <f>COUNTIF(F5:F38, "&gt;=60")</f>
        <v/>
      </c>
      <c r="G40" s="8" t="n"/>
      <c r="H40" s="8" t="n"/>
      <c r="I40" s="8" t="n"/>
    </row>
    <row r="41">
      <c r="A41" s="8" t="n"/>
      <c r="B41" s="9" t="inlineStr">
        <is>
          <t>不及格人數 (&lt;60)</t>
        </is>
      </c>
      <c r="C41" s="8" t="n"/>
      <c r="D41" s="8" t="n"/>
      <c r="E41" s="8" t="n"/>
      <c r="F41" s="9">
        <f>COUNTIF(F5:F38, "&lt;60")</f>
        <v/>
      </c>
      <c r="G41" s="8" t="n"/>
      <c r="H41" s="8" t="n"/>
      <c r="I41" s="8" t="n"/>
    </row>
    <row r="42">
      <c r="A42" s="8" t="n"/>
      <c r="B42" s="9" t="inlineStr">
        <is>
          <t>班級及格率</t>
        </is>
      </c>
      <c r="C42" s="8" t="n"/>
      <c r="D42" s="8" t="n"/>
      <c r="E42" s="8" t="n"/>
      <c r="F42" s="17">
        <f>F40/COUNT(F5:F38)</f>
        <v/>
      </c>
      <c r="G42" s="8" t="n"/>
      <c r="H42" s="8" t="n"/>
      <c r="I42" s="8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2026-10-01T00:03:08Z</dcterms:created>
  <dcterms:modified xmlns:dcterms="http://purl.org/dc/terms/" xmlns:xsi="http://www.w3.org/2001/XMLSchema-instance" xsi:type="dcterms:W3CDTF">2026-10-01T00:03:08Z</dcterms:modified>
</cp:coreProperties>
</file>